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38F0CDD4-9841-4EAB-92FE-9CF584A78082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 a="1"/>
  <c r="E13" i="3" s="1"/>
  <c r="E7" i="3"/>
  <c r="F7" i="3"/>
  <c r="G7" i="3"/>
  <c r="H7" i="3"/>
  <c r="I7" i="3"/>
  <c r="J7" i="3"/>
  <c r="K7" i="3"/>
  <c r="L7" i="3"/>
  <c r="M7" i="3"/>
  <c r="F4" i="3"/>
  <c r="G4" i="3" s="1"/>
  <c r="H4" i="3" s="1"/>
  <c r="I4" i="3" s="1"/>
  <c r="J4" i="3" s="1"/>
  <c r="K4" i="3" s="1"/>
  <c r="L4" i="3" s="1"/>
  <c r="M4" i="3" s="1"/>
  <c r="E4" i="3"/>
  <c r="E3" i="3"/>
  <c r="F3" i="3"/>
  <c r="G3" i="3"/>
  <c r="H3" i="3"/>
  <c r="I3" i="3"/>
  <c r="J3" i="3"/>
  <c r="K3" i="3"/>
  <c r="L3" i="3"/>
  <c r="M3" i="3"/>
  <c r="D3" i="3"/>
  <c r="F2" i="3"/>
  <c r="G2" i="3" s="1"/>
  <c r="H2" i="3" s="1"/>
  <c r="I2" i="3" s="1"/>
  <c r="J2" i="3" s="1"/>
  <c r="K2" i="3" s="1"/>
  <c r="L2" i="3" s="1"/>
  <c r="M2" i="3" s="1"/>
  <c r="E2" i="3"/>
  <c r="C8" i="3" a="1"/>
  <c r="C8" i="3" s="1"/>
  <c r="D1" i="3"/>
  <c r="E1" i="3"/>
  <c r="F1" i="3"/>
  <c r="G1" i="3"/>
  <c r="H1" i="3"/>
  <c r="I1" i="3"/>
  <c r="J1" i="3"/>
  <c r="K1" i="3"/>
  <c r="L1" i="3"/>
  <c r="M1" i="3"/>
  <c r="C1" i="3"/>
  <c r="B4" i="3"/>
  <c r="C4" i="3" s="1"/>
  <c r="D4" i="3" s="1"/>
  <c r="B3" i="3"/>
  <c r="C3" i="3" s="1"/>
  <c r="B2" i="3"/>
  <c r="C2" i="3" s="1"/>
  <c r="D4" i="2"/>
  <c r="D3" i="2"/>
  <c r="B2" i="2"/>
  <c r="C7" i="3" l="1"/>
  <c r="D2" i="3"/>
  <c r="D7" i="3" s="1"/>
  <c r="B4" i="2"/>
  <c r="C4" i="2" s="1"/>
  <c r="B3" i="2"/>
  <c r="C3" i="2" s="1"/>
  <c r="C2" i="2"/>
  <c r="C7" i="2" l="1"/>
  <c r="D2" i="2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<sst xmlns="http://schemas.openxmlformats.org/spreadsheetml/2006/main" count="29" uniqueCount="21">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</sst>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2" fontId="18" fillId="0" borderId="0" xfId="43" applyNumberFormat="1"/>
    <xf numFmtId="0" fontId="18" fillId="0" borderId="0" xfId="43"/>
    <xf numFmtId="165" fontId="0" fillId="0" borderId="0" xfId="45" applyNumberFormat="1" applyFon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14"/>
  <sheetViews>
    <sheetView workbookViewId="0">
      <selection activeCell="A7"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47610.498651190261</v>
      </c>
      <c r="C2" s="2">
        <f>B2</f>
        <v>47610.498651190261</v>
      </c>
      <c r="D2" s="2">
        <f>C2</f>
        <v>47610.498651190261</v>
      </c>
      <c r="E2" s="2"/>
    </row>
    <row r="3" spans="1:5" x14ac:dyDescent="0.25">
      <c r="A3" t="s">
        <v>2</v>
      </c>
      <c r="B3" s="2">
        <f>(B$7-B$6-B$5)*0.18</f>
        <v>107123.62196517808</v>
      </c>
      <c r="C3" s="2">
        <f t="shared" ref="C3:C4" si="0">B3</f>
        <v>107123.62196517808</v>
      </c>
      <c r="D3" s="2">
        <f>C3*2.54416961130742</f>
        <v>272540.6636569901</v>
      </c>
      <c r="E3" s="2"/>
    </row>
    <row r="4" spans="1:5" x14ac:dyDescent="0.25">
      <c r="A4" t="s">
        <v>3</v>
      </c>
      <c r="B4" s="2">
        <f>(B$7-B$6-B$5)*0.74</f>
        <v>440397.11252350989</v>
      </c>
      <c r="C4" s="2">
        <f t="shared" si="0"/>
        <v>440397.11252350989</v>
      </c>
      <c r="D4" s="2">
        <f>C4*1.23239429431233</f>
        <v>542742.88870559877</v>
      </c>
      <c r="E4" s="2"/>
    </row>
    <row r="5" spans="1:5" x14ac:dyDescent="0.25">
      <c r="A5" t="s">
        <v>4</v>
      </c>
      <c r="B5" s="2">
        <v>28715.766860121799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26153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650000</v>
      </c>
      <c r="C7" s="2">
        <f>SUM(C2:C6)</f>
        <v>595131.23313987826</v>
      </c>
      <c r="D7" s="2">
        <f>SUM(D2:D6)</f>
        <v>862894.05101377913</v>
      </c>
      <c r="E7" s="2"/>
    </row>
    <row r="8" spans="1:5" x14ac:dyDescent="0.25">
      <c r="B8" s="2"/>
    </row>
    <row r="9" spans="1:5" ht="15.75" x14ac:dyDescent="0.25">
      <c r="D9" s="3"/>
    </row>
    <row r="10" spans="1:5" ht="15.75" x14ac:dyDescent="0.25">
      <c r="D10" s="4"/>
      <c r="E10" s="4"/>
    </row>
    <row r="11" spans="1:5" ht="15.75" x14ac:dyDescent="0.25">
      <c r="D11" s="4"/>
      <c r="E11" s="3"/>
    </row>
    <row r="12" spans="1:5" ht="15.75" x14ac:dyDescent="0.25">
      <c r="C12" s="4"/>
      <c r="D12" s="4"/>
      <c r="E12" s="3"/>
    </row>
    <row r="13" spans="1:5" ht="15.75" x14ac:dyDescent="0.25">
      <c r="C13" s="4"/>
      <c r="D13" s="3"/>
    </row>
    <row r="14" spans="1:5" ht="15.75" x14ac:dyDescent="0.25">
      <c r="C14" s="4"/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A2E6-667C-4CCC-B0C0-C120769EA7BF}">
  <dimension ref="A1:M23"/>
  <sheetViews>
    <sheetView tabSelected="1" zoomScale="70" zoomScaleNormal="70" workbookViewId="0">
      <selection activeCell="P12" sqref="P12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6.5703125" bestFit="1" customWidth="1"/>
    <col min="5" max="5" width="26.42578125" bestFit="1" customWidth="1"/>
    <col min="6" max="6" width="19.7109375" bestFit="1" customWidth="1"/>
    <col min="7" max="7" width="19" bestFit="1" customWidth="1"/>
    <col min="8" max="8" width="18.140625" bestFit="1" customWidth="1"/>
    <col min="9" max="9" width="18.7109375" bestFit="1" customWidth="1"/>
    <col min="10" max="10" width="18.85546875" bestFit="1" customWidth="1"/>
    <col min="11" max="11" width="19.42578125" bestFit="1" customWidth="1"/>
    <col min="12" max="12" width="19" bestFit="1" customWidth="1"/>
    <col min="13" max="13" width="19.140625" bestFit="1" customWidth="1"/>
  </cols>
  <sheetData>
    <row r="1" spans="1:13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M1" si="0">_xlfn.CONCAT("Production cost - ",D9)</f>
        <v>Production cost - US Average</v>
      </c>
      <c r="E1" t="str">
        <f t="shared" si="0"/>
        <v>Production cost - GL Average</v>
      </c>
      <c r="F1" t="str">
        <f t="shared" si="0"/>
        <v>Production cost - MN</v>
      </c>
      <c r="G1" t="str">
        <f t="shared" si="0"/>
        <v>Production cost - WI</v>
      </c>
      <c r="H1" t="str">
        <f t="shared" si="0"/>
        <v>Production cost - IL</v>
      </c>
      <c r="I1" t="str">
        <f t="shared" si="0"/>
        <v>Production cost - IN</v>
      </c>
      <c r="J1" t="str">
        <f t="shared" si="0"/>
        <v>Production cost - MI</v>
      </c>
      <c r="K1" t="str">
        <f t="shared" si="0"/>
        <v>Production cost - OH</v>
      </c>
      <c r="L1" t="str">
        <f t="shared" si="0"/>
        <v>Production cost - PA</v>
      </c>
      <c r="M1" t="str">
        <f t="shared" si="0"/>
        <v>Production cost - NY</v>
      </c>
    </row>
    <row r="2" spans="1:13" x14ac:dyDescent="0.25">
      <c r="A2" t="s">
        <v>1</v>
      </c>
      <c r="B2" s="2">
        <f>(B$7-B$6-B$5)*0.08</f>
        <v>47610.498651190261</v>
      </c>
      <c r="C2" s="2">
        <f>B2</f>
        <v>47610.498651190261</v>
      </c>
      <c r="D2" s="2">
        <f>C2</f>
        <v>47610.498651190261</v>
      </c>
      <c r="E2" s="2">
        <f>D2</f>
        <v>47610.498651190261</v>
      </c>
      <c r="F2" s="2">
        <f t="shared" ref="F2:M2" si="1">E2</f>
        <v>47610.498651190261</v>
      </c>
      <c r="G2" s="2">
        <f t="shared" si="1"/>
        <v>47610.498651190261</v>
      </c>
      <c r="H2" s="2">
        <f t="shared" si="1"/>
        <v>47610.498651190261</v>
      </c>
      <c r="I2" s="2">
        <f t="shared" si="1"/>
        <v>47610.498651190261</v>
      </c>
      <c r="J2" s="2">
        <f t="shared" si="1"/>
        <v>47610.498651190261</v>
      </c>
      <c r="K2" s="2">
        <f t="shared" si="1"/>
        <v>47610.498651190261</v>
      </c>
      <c r="L2" s="2">
        <f t="shared" si="1"/>
        <v>47610.498651190261</v>
      </c>
      <c r="M2" s="2">
        <f t="shared" si="1"/>
        <v>47610.498651190261</v>
      </c>
    </row>
    <row r="3" spans="1:13" x14ac:dyDescent="0.25">
      <c r="A3" t="s">
        <v>2</v>
      </c>
      <c r="B3" s="2">
        <f>(B$7-B$6-B$5)*0.18</f>
        <v>107123.62196517808</v>
      </c>
      <c r="C3" s="2">
        <f t="shared" ref="C3:C4" si="2">B3</f>
        <v>107123.62196517808</v>
      </c>
      <c r="D3" s="2">
        <f>$C$3*D8</f>
        <v>271972.87060770474</v>
      </c>
      <c r="E3" s="2">
        <f t="shared" ref="E3:M3" si="3">$C$3*E8</f>
        <v>272540.66365699022</v>
      </c>
      <c r="F3" s="2">
        <f t="shared" si="3"/>
        <v>292814.04323203739</v>
      </c>
      <c r="G3" s="2">
        <f t="shared" si="3"/>
        <v>265662.19558688486</v>
      </c>
      <c r="H3" s="2">
        <f t="shared" si="3"/>
        <v>260764.21522736712</v>
      </c>
      <c r="I3" s="2">
        <f t="shared" si="3"/>
        <v>261616.03789858762</v>
      </c>
      <c r="J3" s="2">
        <f t="shared" si="3"/>
        <v>279717.26966202265</v>
      </c>
      <c r="K3" s="2">
        <f t="shared" si="3"/>
        <v>272263.82128884352</v>
      </c>
      <c r="L3" s="2">
        <f t="shared" si="3"/>
        <v>276735.890312751</v>
      </c>
      <c r="M3" s="2">
        <f t="shared" si="3"/>
        <v>270773.13161420764</v>
      </c>
    </row>
    <row r="4" spans="1:13" x14ac:dyDescent="0.25">
      <c r="A4" t="s">
        <v>3</v>
      </c>
      <c r="B4" s="2">
        <f>(B$7-B$6-B$5)*0.74</f>
        <v>440397.11252350989</v>
      </c>
      <c r="C4" s="2">
        <f t="shared" si="2"/>
        <v>440397.11252350989</v>
      </c>
      <c r="D4" s="2">
        <f>C4*1.23239429431233</f>
        <v>542742.88870559877</v>
      </c>
      <c r="E4" s="2">
        <f>D4</f>
        <v>542742.88870559877</v>
      </c>
      <c r="F4" s="2">
        <f t="shared" ref="F4:M4" si="4">E4</f>
        <v>542742.88870559877</v>
      </c>
      <c r="G4" s="2">
        <f t="shared" si="4"/>
        <v>542742.88870559877</v>
      </c>
      <c r="H4" s="2">
        <f t="shared" si="4"/>
        <v>542742.88870559877</v>
      </c>
      <c r="I4" s="2">
        <f t="shared" si="4"/>
        <v>542742.88870559877</v>
      </c>
      <c r="J4" s="2">
        <f t="shared" si="4"/>
        <v>542742.88870559877</v>
      </c>
      <c r="K4" s="2">
        <f t="shared" si="4"/>
        <v>542742.88870559877</v>
      </c>
      <c r="L4" s="2">
        <f t="shared" si="4"/>
        <v>542742.88870559877</v>
      </c>
      <c r="M4" s="2">
        <f t="shared" si="4"/>
        <v>542742.88870559877</v>
      </c>
    </row>
    <row r="5" spans="1:13" x14ac:dyDescent="0.25">
      <c r="A5" t="s">
        <v>4</v>
      </c>
      <c r="B5" s="2">
        <v>28715.766860121799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5">
      <c r="A6" t="s">
        <v>8</v>
      </c>
      <c r="B6" s="2">
        <v>26153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5</v>
      </c>
      <c r="B7" s="1">
        <v>650000</v>
      </c>
      <c r="C7" s="2">
        <f>SUM(C2:C6)</f>
        <v>595131.23313987826</v>
      </c>
      <c r="D7" s="2">
        <f>SUM(D2:D6)</f>
        <v>862326.25796449371</v>
      </c>
      <c r="E7" s="2">
        <f t="shared" ref="E7:M7" si="5">SUM(E2:E6)</f>
        <v>862894.05101377924</v>
      </c>
      <c r="F7" s="2">
        <f t="shared" si="5"/>
        <v>883167.43058882642</v>
      </c>
      <c r="G7" s="2">
        <f t="shared" si="5"/>
        <v>856015.58294367394</v>
      </c>
      <c r="H7" s="2">
        <f t="shared" si="5"/>
        <v>851117.60258415621</v>
      </c>
      <c r="I7" s="2">
        <f t="shared" si="5"/>
        <v>851969.42525537661</v>
      </c>
      <c r="J7" s="2">
        <f t="shared" si="5"/>
        <v>870070.65701881167</v>
      </c>
      <c r="K7" s="2">
        <f t="shared" si="5"/>
        <v>862617.20864563249</v>
      </c>
      <c r="L7" s="2">
        <f t="shared" si="5"/>
        <v>867089.27766954002</v>
      </c>
      <c r="M7" s="2">
        <f t="shared" si="5"/>
        <v>861126.51897099661</v>
      </c>
    </row>
    <row r="8" spans="1:13" x14ac:dyDescent="0.25">
      <c r="C8" cm="1">
        <f t="array" ref="C8:M8">TRANSPOSE(D13:D23)</f>
        <v>1</v>
      </c>
      <c r="D8">
        <v>2.5388692579505299</v>
      </c>
      <c r="E8">
        <v>2.5441696113074208</v>
      </c>
      <c r="F8">
        <v>2.7334217968023933</v>
      </c>
      <c r="G8">
        <v>2.4799590483716258</v>
      </c>
      <c r="H8">
        <v>2.4342363564978404</v>
      </c>
      <c r="I8">
        <v>2.4421881289976293</v>
      </c>
      <c r="J8">
        <v>2.6111632946181409</v>
      </c>
      <c r="K8">
        <v>2.5415852852449889</v>
      </c>
      <c r="L8">
        <v>2.5833320908688799</v>
      </c>
      <c r="M8">
        <v>2.5276696833703585</v>
      </c>
    </row>
    <row r="9" spans="1:13" x14ac:dyDescent="0.25"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3" spans="1:13" ht="15.75" x14ac:dyDescent="0.25">
      <c r="D13" s="4">
        <v>1</v>
      </c>
      <c r="E13" s="5" cm="1">
        <f t="array" ref="E13:E23">TRANSPOSE(C7:M7)</f>
        <v>595131.23313987826</v>
      </c>
    </row>
    <row r="14" spans="1:13" ht="15.75" x14ac:dyDescent="0.25">
      <c r="D14" s="3">
        <v>2.5388692579505299</v>
      </c>
      <c r="E14" s="5">
        <v>862326.25796449371</v>
      </c>
    </row>
    <row r="15" spans="1:13" ht="15.75" x14ac:dyDescent="0.25">
      <c r="D15" s="3">
        <v>2.5441696113074208</v>
      </c>
      <c r="E15" s="5">
        <v>862894.05101377924</v>
      </c>
    </row>
    <row r="16" spans="1:13" ht="15.75" x14ac:dyDescent="0.25">
      <c r="D16" s="3">
        <v>2.7334217968023933</v>
      </c>
      <c r="E16" s="5">
        <v>883167.43058882642</v>
      </c>
    </row>
    <row r="17" spans="4:5" ht="15.75" x14ac:dyDescent="0.25">
      <c r="D17" s="3">
        <v>2.4799590483716258</v>
      </c>
      <c r="E17" s="5">
        <v>856015.58294367394</v>
      </c>
    </row>
    <row r="18" spans="4:5" ht="15.75" x14ac:dyDescent="0.25">
      <c r="D18" s="3">
        <v>2.4342363564978404</v>
      </c>
      <c r="E18" s="5">
        <v>851117.60258415621</v>
      </c>
    </row>
    <row r="19" spans="4:5" ht="15.75" x14ac:dyDescent="0.25">
      <c r="D19" s="3">
        <v>2.4421881289976293</v>
      </c>
      <c r="E19" s="5">
        <v>851969.42525537661</v>
      </c>
    </row>
    <row r="20" spans="4:5" ht="15.75" x14ac:dyDescent="0.25">
      <c r="D20" s="3">
        <v>2.6111632946181409</v>
      </c>
      <c r="E20" s="5">
        <v>870070.65701881167</v>
      </c>
    </row>
    <row r="21" spans="4:5" ht="15.75" x14ac:dyDescent="0.25">
      <c r="D21" s="3">
        <v>2.5415852852449889</v>
      </c>
      <c r="E21" s="5">
        <v>862617.20864563249</v>
      </c>
    </row>
    <row r="22" spans="4:5" ht="15.75" x14ac:dyDescent="0.25">
      <c r="D22" s="3">
        <v>2.5833320908688799</v>
      </c>
      <c r="E22" s="5">
        <v>867089.27766954002</v>
      </c>
    </row>
    <row r="23" spans="4:5" ht="15.75" x14ac:dyDescent="0.25">
      <c r="D23" s="3">
        <v>2.5276696833703585</v>
      </c>
      <c r="E23" s="5">
        <v>861126.51897099661</v>
      </c>
    </row>
  </sheetData>
  <pageMargins left="0.7" right="0.7" top="0.75" bottom="0.75" header="0.3" footer="0.3"/>
  <ignoredErrors>
    <ignoredError sqref="D3:M4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2025-03-27T03:59:47Z</dcterms:modified>
</cp:coreProperties>
</file>