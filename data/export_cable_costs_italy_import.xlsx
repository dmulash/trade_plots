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de_plots\data\"/>
    </mc:Choice>
  </mc:AlternateContent>
  <xr:revisionPtr revIDLastSave="0" documentId="13_ncr:1_{68172860-8F6C-4FB5-9673-09D2405B6CC2}" xr6:coauthVersionLast="47" xr6:coauthVersionMax="47" xr10:uidLastSave="{00000000-0000-0000-0000-000000000000}"/>
  <bookViews>
    <workbookView xWindow="-120" yWindow="16080" windowWidth="29040" windowHeight="15720" activeTab="1" xr2:uid="{E194376A-60D2-4E43-93D0-D5BA1364A651}"/>
  </bookViews>
  <sheets>
    <sheet name="Sheet1" sheetId="2" r:id="rId1"/>
    <sheet name="all optio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3" l="1" a="1"/>
  <c r="D12" i="3" s="1"/>
  <c r="E3" i="3"/>
  <c r="F3" i="3"/>
  <c r="G3" i="3"/>
  <c r="H3" i="3"/>
  <c r="H7" i="3" s="1"/>
  <c r="I3" i="3"/>
  <c r="I7" i="3" s="1"/>
  <c r="J3" i="3"/>
  <c r="K3" i="3"/>
  <c r="K7" i="3" s="1"/>
  <c r="L3" i="3"/>
  <c r="L7" i="3" s="1"/>
  <c r="M3" i="3"/>
  <c r="D3" i="3"/>
  <c r="C8" i="3" a="1"/>
  <c r="C8" i="3" s="1"/>
  <c r="E7" i="3"/>
  <c r="F7" i="3"/>
  <c r="G7" i="3"/>
  <c r="J7" i="3"/>
  <c r="M7" i="3"/>
  <c r="F4" i="3"/>
  <c r="G4" i="3" s="1"/>
  <c r="H4" i="3" s="1"/>
  <c r="I4" i="3" s="1"/>
  <c r="J4" i="3" s="1"/>
  <c r="K4" i="3" s="1"/>
  <c r="L4" i="3" s="1"/>
  <c r="M4" i="3" s="1"/>
  <c r="E4" i="3"/>
  <c r="F2" i="3"/>
  <c r="G2" i="3"/>
  <c r="H2" i="3" s="1"/>
  <c r="I2" i="3" s="1"/>
  <c r="J2" i="3" s="1"/>
  <c r="K2" i="3" s="1"/>
  <c r="L2" i="3" s="1"/>
  <c r="M2" i="3" s="1"/>
  <c r="E2" i="3"/>
  <c r="D1" i="3"/>
  <c r="E1" i="3"/>
  <c r="F1" i="3"/>
  <c r="G1" i="3"/>
  <c r="H1" i="3"/>
  <c r="I1" i="3"/>
  <c r="J1" i="3"/>
  <c r="K1" i="3"/>
  <c r="L1" i="3"/>
  <c r="M1" i="3"/>
  <c r="C1" i="3"/>
  <c r="B4" i="3"/>
  <c r="C4" i="3" s="1"/>
  <c r="D4" i="3" s="1"/>
  <c r="B3" i="3"/>
  <c r="C3" i="3" s="1"/>
  <c r="B2" i="3"/>
  <c r="C2" i="3" s="1"/>
  <c r="D4" i="2"/>
  <c r="D3" i="2"/>
  <c r="B2" i="2"/>
  <c r="D2" i="3" l="1"/>
  <c r="D7" i="3" s="1"/>
  <c r="C7" i="3"/>
  <c r="B4" i="2"/>
  <c r="B3" i="2"/>
  <c r="C3" i="2" s="1"/>
  <c r="C4" i="2"/>
  <c r="C2" i="2"/>
  <c r="C7" i="2" l="1"/>
  <c r="D2" i="2"/>
  <c r="D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<sst xmlns="http://schemas.openxmlformats.org/spreadsheetml/2006/main" count="29" uniqueCount="21">
  <si>
    <t>component costs</t>
  </si>
  <si>
    <t>Other</t>
  </si>
  <si>
    <t>Labor</t>
  </si>
  <si>
    <t>Raw materials</t>
  </si>
  <si>
    <t>Factory amortization</t>
  </si>
  <si>
    <t>Total</t>
  </si>
  <si>
    <t>Landed cost - Import</t>
  </si>
  <si>
    <t>Production cost - Import</t>
  </si>
  <si>
    <t>Transportation</t>
  </si>
  <si>
    <t>Production cost - Great Lakes</t>
  </si>
  <si>
    <t>Import</t>
  </si>
  <si>
    <t>US Average</t>
  </si>
  <si>
    <t>GL Average</t>
  </si>
  <si>
    <t>MN</t>
  </si>
  <si>
    <t>WI</t>
  </si>
  <si>
    <t>IL</t>
  </si>
  <si>
    <t>IN</t>
  </si>
  <si>
    <t>MI</t>
  </si>
  <si>
    <t>OH</t>
  </si>
  <si>
    <t>PA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</si>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</sst>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44" fontId="1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1" applyNumberFormat="1" applyFont="1"/>
    <xf numFmtId="1" fontId="0" fillId="0" borderId="0" xfId="0" applyNumberFormat="1"/>
    <xf numFmtId="2" fontId="18" fillId="0" borderId="0" xfId="43" applyNumberFormat="1"/>
    <xf numFmtId="0" fontId="18" fillId="0" borderId="0" xfId="43"/>
    <xf numFmtId="165" fontId="0" fillId="0" borderId="0" xfId="45" applyNumberFormat="1" applyFont="1"/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5" builtinId="3"/>
    <cellStyle name="Currency 2" xfId="44" xr:uid="{3A4B0E27-D947-4D7A-B51E-17B705417C9E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27F5D012-193B-4DC1-8345-CEB7ACE962AB}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60D5-6384-4E20-9FB9-47B01C5A146D}">
  <dimension ref="A1:E14"/>
  <sheetViews>
    <sheetView workbookViewId="0">
      <selection sqref="A1:D7"/>
    </sheetView>
  </sheetViews>
  <sheetFormatPr defaultRowHeight="15" x14ac:dyDescent="0.25"/>
  <cols>
    <col min="1" max="1" width="19.42578125" bestFit="1" customWidth="1"/>
    <col min="2" max="2" width="19.28515625" bestFit="1" customWidth="1"/>
    <col min="3" max="3" width="22.7109375" bestFit="1" customWidth="1"/>
    <col min="4" max="4" width="25.140625" bestFit="1" customWidth="1"/>
    <col min="5" max="5" width="21.85546875" bestFit="1" customWidth="1"/>
  </cols>
  <sheetData>
    <row r="1" spans="1:5" x14ac:dyDescent="0.25">
      <c r="A1" t="s">
        <v>0</v>
      </c>
      <c r="B1" t="s">
        <v>6</v>
      </c>
      <c r="C1" t="s">
        <v>7</v>
      </c>
      <c r="D1" t="s">
        <v>9</v>
      </c>
    </row>
    <row r="2" spans="1:5" x14ac:dyDescent="0.25">
      <c r="A2" t="s">
        <v>1</v>
      </c>
      <c r="B2" s="2">
        <f>(B$7-B$6-B$5)*0.08</f>
        <v>103099.4177395328</v>
      </c>
      <c r="C2" s="2">
        <f>B2</f>
        <v>103099.4177395328</v>
      </c>
      <c r="D2" s="2">
        <f>C2</f>
        <v>103099.4177395328</v>
      </c>
      <c r="E2" s="2"/>
    </row>
    <row r="3" spans="1:5" x14ac:dyDescent="0.25">
      <c r="A3" t="s">
        <v>2</v>
      </c>
      <c r="B3" s="2">
        <f>(B$7-B$6-B$5)*0.18</f>
        <v>231973.68991394879</v>
      </c>
      <c r="C3" s="2">
        <f t="shared" ref="C3:C4" si="0">B3</f>
        <v>231973.68991394879</v>
      </c>
      <c r="D3" s="2">
        <f>C3*1.34078212290503</f>
        <v>311026.17642093741</v>
      </c>
      <c r="E3" s="2"/>
    </row>
    <row r="4" spans="1:5" x14ac:dyDescent="0.25">
      <c r="A4" t="s">
        <v>3</v>
      </c>
      <c r="B4" s="2">
        <f>(B$7-B$6-B$5)*0.74</f>
        <v>953669.6140906784</v>
      </c>
      <c r="C4" s="2">
        <f t="shared" si="0"/>
        <v>953669.6140906784</v>
      </c>
      <c r="D4" s="2">
        <f>C4*1.24873862868761</f>
        <v>1190884.086120636</v>
      </c>
      <c r="E4" s="2"/>
    </row>
    <row r="5" spans="1:5" x14ac:dyDescent="0.25">
      <c r="A5" t="s">
        <v>4</v>
      </c>
      <c r="B5" s="2">
        <v>64916.278255840123</v>
      </c>
      <c r="C5" s="2">
        <v>0</v>
      </c>
      <c r="D5" s="2">
        <v>0</v>
      </c>
      <c r="E5" s="2"/>
    </row>
    <row r="6" spans="1:5" x14ac:dyDescent="0.25">
      <c r="A6" t="s">
        <v>8</v>
      </c>
      <c r="B6" s="2">
        <v>46341</v>
      </c>
      <c r="C6" s="2">
        <v>0</v>
      </c>
      <c r="D6" s="2">
        <v>0</v>
      </c>
      <c r="E6" s="2"/>
    </row>
    <row r="7" spans="1:5" x14ac:dyDescent="0.25">
      <c r="A7" t="s">
        <v>5</v>
      </c>
      <c r="B7" s="1">
        <v>1400000</v>
      </c>
      <c r="C7" s="2">
        <f>SUM(C2:C6)</f>
        <v>1288742.7217441599</v>
      </c>
      <c r="D7" s="2">
        <f>SUM(D2:D6)</f>
        <v>1605009.6802811061</v>
      </c>
      <c r="E7" s="2"/>
    </row>
    <row r="8" spans="1:5" x14ac:dyDescent="0.25">
      <c r="B8" s="2"/>
    </row>
    <row r="9" spans="1:5" ht="15.75" x14ac:dyDescent="0.25">
      <c r="D9" s="3"/>
    </row>
    <row r="10" spans="1:5" ht="15.75" x14ac:dyDescent="0.25">
      <c r="D10" s="4"/>
      <c r="E10" s="4"/>
    </row>
    <row r="11" spans="1:5" ht="15.75" x14ac:dyDescent="0.25">
      <c r="D11" s="4"/>
      <c r="E11" s="3"/>
    </row>
    <row r="12" spans="1:5" ht="15.75" x14ac:dyDescent="0.25">
      <c r="C12" s="4"/>
      <c r="D12" s="4"/>
      <c r="E12" s="3"/>
    </row>
    <row r="13" spans="1:5" ht="15.75" x14ac:dyDescent="0.25">
      <c r="C13" s="4"/>
      <c r="D13" s="3"/>
    </row>
    <row r="14" spans="1:5" ht="15.75" x14ac:dyDescent="0.25">
      <c r="C14" s="4"/>
      <c r="D1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0E71B-AC4B-4CB6-9058-388003EF80F0}">
  <dimension ref="A1:M22"/>
  <sheetViews>
    <sheetView tabSelected="1" workbookViewId="0">
      <selection activeCell="F13" sqref="F13"/>
    </sheetView>
  </sheetViews>
  <sheetFormatPr defaultColWidth="9.28515625" defaultRowHeight="15" x14ac:dyDescent="0.25"/>
  <cols>
    <col min="1" max="1" width="19.42578125" bestFit="1" customWidth="1"/>
    <col min="2" max="2" width="19.28515625" bestFit="1" customWidth="1"/>
    <col min="3" max="3" width="22.7109375" bestFit="1" customWidth="1"/>
    <col min="4" max="4" width="27.140625" bestFit="1" customWidth="1"/>
  </cols>
  <sheetData>
    <row r="1" spans="1:13" x14ac:dyDescent="0.25">
      <c r="A1" t="s">
        <v>0</v>
      </c>
      <c r="B1" t="s">
        <v>6</v>
      </c>
      <c r="C1" t="str">
        <f>_xlfn.CONCAT("Production cost - ",C9)</f>
        <v>Production cost - Import</v>
      </c>
      <c r="D1" t="str">
        <f t="shared" ref="D1:M1" si="0">_xlfn.CONCAT("Production cost - ",D9)</f>
        <v>Production cost - US Average</v>
      </c>
      <c r="E1" t="str">
        <f t="shared" si="0"/>
        <v>Production cost - GL Average</v>
      </c>
      <c r="F1" t="str">
        <f t="shared" si="0"/>
        <v>Production cost - MN</v>
      </c>
      <c r="G1" t="str">
        <f t="shared" si="0"/>
        <v>Production cost - WI</v>
      </c>
      <c r="H1" t="str">
        <f t="shared" si="0"/>
        <v>Production cost - IL</v>
      </c>
      <c r="I1" t="str">
        <f t="shared" si="0"/>
        <v>Production cost - IN</v>
      </c>
      <c r="J1" t="str">
        <f t="shared" si="0"/>
        <v>Production cost - MI</v>
      </c>
      <c r="K1" t="str">
        <f t="shared" si="0"/>
        <v>Production cost - OH</v>
      </c>
      <c r="L1" t="str">
        <f t="shared" si="0"/>
        <v>Production cost - PA</v>
      </c>
      <c r="M1" t="str">
        <f t="shared" si="0"/>
        <v>Production cost - NY</v>
      </c>
    </row>
    <row r="2" spans="1:13" x14ac:dyDescent="0.25">
      <c r="A2" t="s">
        <v>1</v>
      </c>
      <c r="B2" s="2">
        <f>(B$7-B$6-B$5)*0.08</f>
        <v>103099.4177395328</v>
      </c>
      <c r="C2" s="2">
        <f>B2</f>
        <v>103099.4177395328</v>
      </c>
      <c r="D2" s="2">
        <f>C2</f>
        <v>103099.4177395328</v>
      </c>
      <c r="E2" s="2">
        <f>D2</f>
        <v>103099.4177395328</v>
      </c>
      <c r="F2" s="2">
        <f t="shared" ref="F2:M2" si="1">E2</f>
        <v>103099.4177395328</v>
      </c>
      <c r="G2" s="2">
        <f t="shared" si="1"/>
        <v>103099.4177395328</v>
      </c>
      <c r="H2" s="2">
        <f t="shared" si="1"/>
        <v>103099.4177395328</v>
      </c>
      <c r="I2" s="2">
        <f t="shared" si="1"/>
        <v>103099.4177395328</v>
      </c>
      <c r="J2" s="2">
        <f t="shared" si="1"/>
        <v>103099.4177395328</v>
      </c>
      <c r="K2" s="2">
        <f t="shared" si="1"/>
        <v>103099.4177395328</v>
      </c>
      <c r="L2" s="2">
        <f t="shared" si="1"/>
        <v>103099.4177395328</v>
      </c>
      <c r="M2" s="2">
        <f t="shared" si="1"/>
        <v>103099.4177395328</v>
      </c>
    </row>
    <row r="3" spans="1:13" x14ac:dyDescent="0.25">
      <c r="A3" t="s">
        <v>2</v>
      </c>
      <c r="B3" s="2">
        <f>(B$7-B$6-B$5)*0.18</f>
        <v>231973.68991394879</v>
      </c>
      <c r="C3" s="2">
        <f t="shared" ref="C3:C4" si="2">B3</f>
        <v>231973.68991394879</v>
      </c>
      <c r="D3" s="2">
        <f>$C$3*D8</f>
        <v>310378.20522006002</v>
      </c>
      <c r="E3" s="2">
        <f t="shared" ref="E3:M3" si="3">$C$3*E8</f>
        <v>311026.17642093694</v>
      </c>
      <c r="F3" s="2">
        <f t="shared" si="3"/>
        <v>334162.36332144728</v>
      </c>
      <c r="G3" s="2">
        <f t="shared" si="3"/>
        <v>303176.39872254949</v>
      </c>
      <c r="H3" s="2">
        <f t="shared" si="3"/>
        <v>297586.77373608161</v>
      </c>
      <c r="I3" s="2">
        <f t="shared" si="3"/>
        <v>298558.88242938044</v>
      </c>
      <c r="J3" s="2">
        <f t="shared" si="3"/>
        <v>319216.19216197898</v>
      </c>
      <c r="K3" s="2">
        <f t="shared" si="3"/>
        <v>310710.24109561485</v>
      </c>
      <c r="L3" s="2">
        <f t="shared" si="3"/>
        <v>315813.81173543329</v>
      </c>
      <c r="M3" s="2">
        <f t="shared" si="3"/>
        <v>309009.05088234204</v>
      </c>
    </row>
    <row r="4" spans="1:13" x14ac:dyDescent="0.25">
      <c r="A4" t="s">
        <v>3</v>
      </c>
      <c r="B4" s="2">
        <f>(B$7-B$6-B$5)*0.74</f>
        <v>953669.6140906784</v>
      </c>
      <c r="C4" s="2">
        <f t="shared" si="2"/>
        <v>953669.6140906784</v>
      </c>
      <c r="D4" s="2">
        <f>C4*1.24873862868761</f>
        <v>1190884.086120636</v>
      </c>
      <c r="E4" s="2">
        <f>D4</f>
        <v>1190884.086120636</v>
      </c>
      <c r="F4" s="2">
        <f t="shared" ref="F4:M4" si="4">E4</f>
        <v>1190884.086120636</v>
      </c>
      <c r="G4" s="2">
        <f t="shared" si="4"/>
        <v>1190884.086120636</v>
      </c>
      <c r="H4" s="2">
        <f t="shared" si="4"/>
        <v>1190884.086120636</v>
      </c>
      <c r="I4" s="2">
        <f t="shared" si="4"/>
        <v>1190884.086120636</v>
      </c>
      <c r="J4" s="2">
        <f t="shared" si="4"/>
        <v>1190884.086120636</v>
      </c>
      <c r="K4" s="2">
        <f t="shared" si="4"/>
        <v>1190884.086120636</v>
      </c>
      <c r="L4" s="2">
        <f t="shared" si="4"/>
        <v>1190884.086120636</v>
      </c>
      <c r="M4" s="2">
        <f t="shared" si="4"/>
        <v>1190884.086120636</v>
      </c>
    </row>
    <row r="5" spans="1:13" x14ac:dyDescent="0.25">
      <c r="A5" t="s">
        <v>4</v>
      </c>
      <c r="B5" s="2">
        <v>64916.278255840123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5">
      <c r="A6" t="s">
        <v>8</v>
      </c>
      <c r="B6" s="2">
        <v>46341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5">
      <c r="A7" t="s">
        <v>5</v>
      </c>
      <c r="B7" s="1">
        <v>1400000</v>
      </c>
      <c r="C7" s="2">
        <f>SUM(C2:C6)</f>
        <v>1288742.7217441599</v>
      </c>
      <c r="D7" s="2">
        <f>SUM(D2:D6)</f>
        <v>1604361.7090802288</v>
      </c>
      <c r="E7" s="2">
        <f t="shared" ref="E7:M7" si="5">SUM(E2:E6)</f>
        <v>1605009.6802811057</v>
      </c>
      <c r="F7" s="2">
        <f t="shared" si="5"/>
        <v>1628145.8671816159</v>
      </c>
      <c r="G7" s="2">
        <f t="shared" si="5"/>
        <v>1597159.9025827183</v>
      </c>
      <c r="H7" s="2">
        <f t="shared" si="5"/>
        <v>1591570.2775962504</v>
      </c>
      <c r="I7" s="2">
        <f t="shared" si="5"/>
        <v>1592542.3862895491</v>
      </c>
      <c r="J7" s="2">
        <f t="shared" si="5"/>
        <v>1613199.6960221478</v>
      </c>
      <c r="K7" s="2">
        <f t="shared" si="5"/>
        <v>1604693.7449557837</v>
      </c>
      <c r="L7" s="2">
        <f t="shared" si="5"/>
        <v>1609797.3155956022</v>
      </c>
      <c r="M7" s="2">
        <f t="shared" si="5"/>
        <v>1602992.5547425109</v>
      </c>
    </row>
    <row r="8" spans="1:13" x14ac:dyDescent="0.25">
      <c r="C8" cm="1">
        <f t="array" ref="C8:M8">TRANSPOSE(C12:C22)</f>
        <v>1</v>
      </c>
      <c r="D8">
        <v>1.3379888268156426</v>
      </c>
      <c r="E8">
        <v>1.3407821229050281</v>
      </c>
      <c r="F8">
        <v>1.440518377085805</v>
      </c>
      <c r="G8">
        <v>1.3069430366651213</v>
      </c>
      <c r="H8">
        <v>1.2828470929029587</v>
      </c>
      <c r="I8">
        <v>1.2870376918181177</v>
      </c>
      <c r="J8">
        <v>1.3760879187652402</v>
      </c>
      <c r="K8">
        <v>1.3394201782576014</v>
      </c>
      <c r="L8">
        <v>1.3614208225621844</v>
      </c>
      <c r="M8">
        <v>1.3320866301560736</v>
      </c>
    </row>
    <row r="9" spans="1:13" x14ac:dyDescent="0.25"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  <c r="L9" t="s">
        <v>19</v>
      </c>
      <c r="M9" t="s">
        <v>20</v>
      </c>
    </row>
    <row r="12" spans="1:13" ht="15.75" x14ac:dyDescent="0.25">
      <c r="C12" s="4">
        <v>1</v>
      </c>
      <c r="D12" s="5" cm="1">
        <f t="array" ref="D12:D22">TRANSPOSE(C7:M7)</f>
        <v>1288742.7217441599</v>
      </c>
    </row>
    <row r="13" spans="1:13" ht="15.75" x14ac:dyDescent="0.25">
      <c r="C13" s="3">
        <v>1.3379888268156426</v>
      </c>
      <c r="D13" s="5">
        <v>1604361.7090802288</v>
      </c>
    </row>
    <row r="14" spans="1:13" ht="15.75" x14ac:dyDescent="0.25">
      <c r="C14" s="3">
        <v>1.3407821229050281</v>
      </c>
      <c r="D14" s="5">
        <v>1605009.6802811057</v>
      </c>
    </row>
    <row r="15" spans="1:13" ht="15.75" x14ac:dyDescent="0.25">
      <c r="C15" s="3">
        <v>1.440518377085805</v>
      </c>
      <c r="D15" s="5">
        <v>1628145.8671816159</v>
      </c>
    </row>
    <row r="16" spans="1:13" ht="15.75" x14ac:dyDescent="0.25">
      <c r="C16" s="3">
        <v>1.3069430366651213</v>
      </c>
      <c r="D16" s="5">
        <v>1597159.9025827183</v>
      </c>
    </row>
    <row r="17" spans="3:4" ht="15.75" x14ac:dyDescent="0.25">
      <c r="C17" s="3">
        <v>1.2828470929029587</v>
      </c>
      <c r="D17" s="5">
        <v>1591570.2775962504</v>
      </c>
    </row>
    <row r="18" spans="3:4" ht="15.75" x14ac:dyDescent="0.25">
      <c r="C18" s="3">
        <v>1.2870376918181177</v>
      </c>
      <c r="D18" s="5">
        <v>1592542.3862895491</v>
      </c>
    </row>
    <row r="19" spans="3:4" ht="15.75" x14ac:dyDescent="0.25">
      <c r="C19" s="3">
        <v>1.3760879187652402</v>
      </c>
      <c r="D19" s="5">
        <v>1613199.6960221478</v>
      </c>
    </row>
    <row r="20" spans="3:4" ht="15.75" x14ac:dyDescent="0.25">
      <c r="C20" s="3">
        <v>1.3394201782576014</v>
      </c>
      <c r="D20" s="5">
        <v>1604693.7449557837</v>
      </c>
    </row>
    <row r="21" spans="3:4" ht="15.75" x14ac:dyDescent="0.25">
      <c r="C21" s="3">
        <v>1.3614208225621844</v>
      </c>
      <c r="D21" s="5">
        <v>1609797.3155956022</v>
      </c>
    </row>
    <row r="22" spans="3:4" ht="15.75" x14ac:dyDescent="0.25">
      <c r="C22" s="3">
        <v>1.3320866301560736</v>
      </c>
      <c r="D22" s="5">
        <v>1602992.5547425109</v>
      </c>
    </row>
  </sheetData>
  <pageMargins left="0.7" right="0.7" top="0.75" bottom="0.75" header="0.3" footer="0.3"/>
  <ignoredErrors>
    <ignoredError sqref="D3:M4" formula="1"/>
  </ignoredErrors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all option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Mulas Hernando, Daniel</cp:lastModifiedBy>
  <dcterms:created xsi:type="dcterms:W3CDTF">2025-03-18T21:13:18Z</dcterms:created>
  <dcterms:modified xsi:type="dcterms:W3CDTF">2025-03-27T04:11:52Z</dcterms:modified>
</cp:coreProperties>
</file>