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de_plots\data\"/>
    </mc:Choice>
  </mc:AlternateContent>
  <xr:revisionPtr revIDLastSave="0" documentId="13_ncr:1_{519826DD-794E-480E-B82F-9CA7ACB7AC93}" xr6:coauthVersionLast="47" xr6:coauthVersionMax="47" xr10:uidLastSave="{00000000-0000-0000-0000-000000000000}"/>
  <bookViews>
    <workbookView xWindow="-120" yWindow="16080" windowWidth="29040" windowHeight="15720" activeTab="1" xr2:uid="{E194376A-60D2-4E43-93D0-D5BA1364A651}"/>
  </bookViews>
  <sheets>
    <sheet name="Sheet1" sheetId="2" r:id="rId1"/>
    <sheet name="All op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3" l="1"/>
  <c r="E1" i="3"/>
  <c r="D1" i="3"/>
  <c r="F1" i="3"/>
  <c r="H1" i="3"/>
  <c r="I1" i="3"/>
  <c r="J1" i="3"/>
  <c r="K1" i="3"/>
  <c r="L1" i="3"/>
  <c r="M1" i="3"/>
  <c r="N1" i="3"/>
  <c r="O1" i="3"/>
  <c r="P1" i="3"/>
  <c r="Q1" i="3"/>
  <c r="C1" i="3"/>
  <c r="B4" i="2"/>
  <c r="C4" i="2" s="1"/>
  <c r="D4" i="2" s="1"/>
  <c r="B2" i="2" l="1"/>
  <c r="C2" i="2" s="1"/>
  <c r="B3" i="2"/>
  <c r="C3" i="2" s="1"/>
  <c r="D3" i="2" s="1"/>
  <c r="C7" i="2" l="1"/>
  <c r="D2" i="2"/>
  <c r="D7" i="2"/>
  <c r="B4" i="3" l="1"/>
  <c r="C4" i="3" s="1"/>
  <c r="B3" i="3"/>
  <c r="C3" i="3" s="1"/>
  <c r="B2" i="3"/>
  <c r="C2" i="3" s="1"/>
  <c r="C7" i="3" l="1"/>
  <c r="D2" i="3"/>
  <c r="H2" i="3"/>
  <c r="E3" i="3"/>
  <c r="N3" i="3"/>
  <c r="F3" i="3"/>
  <c r="O3" i="3"/>
  <c r="H3" i="3"/>
  <c r="K3" i="3"/>
  <c r="G3" i="3"/>
  <c r="D3" i="3"/>
  <c r="I3" i="3"/>
  <c r="L3" i="3"/>
  <c r="Q3" i="3"/>
  <c r="J3" i="3"/>
  <c r="P3" i="3"/>
  <c r="M3" i="3"/>
  <c r="F4" i="3"/>
  <c r="E4" i="3"/>
  <c r="H4" i="3"/>
  <c r="I4" i="3" s="1"/>
  <c r="J4" i="3" s="1"/>
  <c r="K4" i="3" s="1"/>
  <c r="L4" i="3" s="1"/>
  <c r="M4" i="3" s="1"/>
  <c r="N4" i="3" s="1"/>
  <c r="O4" i="3" s="1"/>
  <c r="P4" i="3" s="1"/>
  <c r="Q4" i="3" s="1"/>
  <c r="G4" i="3"/>
  <c r="D4" i="3"/>
  <c r="I2" i="3" l="1"/>
  <c r="H7" i="3"/>
  <c r="E2" i="3"/>
  <c r="D7" i="3"/>
  <c r="E23" i="3" l="1"/>
  <c r="F2" i="3"/>
  <c r="E7" i="3"/>
  <c r="J2" i="3"/>
  <c r="I7" i="3"/>
  <c r="J7" i="3" l="1"/>
  <c r="K2" i="3"/>
  <c r="F7" i="3"/>
  <c r="G2" i="3"/>
  <c r="F23" i="3"/>
  <c r="K7" i="3" l="1"/>
  <c r="L2" i="3"/>
  <c r="G7" i="3"/>
  <c r="G25" i="3" s="1"/>
  <c r="G23" i="3"/>
  <c r="M2" i="3" l="1"/>
  <c r="L7" i="3"/>
  <c r="N2" i="3" l="1"/>
  <c r="M7" i="3"/>
  <c r="N7" i="3" l="1"/>
  <c r="O2" i="3"/>
  <c r="O7" i="3" l="1"/>
  <c r="P2" i="3"/>
  <c r="Q2" i="3" l="1"/>
  <c r="Q7" i="3" s="1"/>
  <c r="P7" i="3"/>
</calcChain>
</file>

<file path=xl/sharedStrings.xml><?xml version="1.0" encoding="utf-8"?>
<sst xmlns="http://schemas.openxmlformats.org/spreadsheetml/2006/main" count="37" uniqueCount="24">
  <si>
    <t>component costs</t>
  </si>
  <si>
    <t>Other</t>
  </si>
  <si>
    <t>Labor</t>
  </si>
  <si>
    <t>Raw materials</t>
  </si>
  <si>
    <t>Factory amortization</t>
  </si>
  <si>
    <t>Total</t>
  </si>
  <si>
    <t>Landed cost - Import</t>
  </si>
  <si>
    <t>Production cost - Import</t>
  </si>
  <si>
    <t>US Average</t>
  </si>
  <si>
    <t>GL Average</t>
  </si>
  <si>
    <t>MN</t>
  </si>
  <si>
    <t>WI</t>
  </si>
  <si>
    <t>IL</t>
  </si>
  <si>
    <t>IN</t>
  </si>
  <si>
    <t>MI</t>
  </si>
  <si>
    <t>OH</t>
  </si>
  <si>
    <t>PA</t>
  </si>
  <si>
    <t>NY</t>
  </si>
  <si>
    <t>Transportation</t>
  </si>
  <si>
    <t>Production cost - Great Lakes</t>
  </si>
  <si>
    <t>Import</t>
  </si>
  <si>
    <t>US East Coast</t>
  </si>
  <si>
    <t>New Jersey Wind Port</t>
  </si>
  <si>
    <t>Albany, 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</si>
</sst>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4" fontId="1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1" fontId="0" fillId="0" borderId="0" xfId="1" applyNumberFormat="1" applyFont="1"/>
    <xf numFmtId="1" fontId="0" fillId="0" borderId="0" xfId="0" applyNumberFormat="1"/>
    <xf numFmtId="0" fontId="18" fillId="33" borderId="0" xfId="43" applyFill="1"/>
    <xf numFmtId="2" fontId="18" fillId="33" borderId="0" xfId="43" applyNumberFormat="1" applyFill="1"/>
    <xf numFmtId="164" fontId="0" fillId="0" borderId="0" xfId="45" applyNumberFormat="1" applyFont="1"/>
    <xf numFmtId="1" fontId="0" fillId="33" borderId="0" xfId="0" applyNumberFormat="1" applyFill="1"/>
    <xf numFmtId="0" fontId="0" fillId="33" borderId="0" xfId="0" applyFill="1"/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5" builtinId="3"/>
    <cellStyle name="Currency 2" xfId="44" xr:uid="{3A4B0E27-D947-4D7A-B51E-17B705417C9E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27F5D012-193B-4DC1-8345-CEB7ACE962AB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60D5-6384-4E20-9FB9-47B01C5A146D}">
  <dimension ref="A1:E7"/>
  <sheetViews>
    <sheetView workbookViewId="0">
      <selection sqref="A1:D7"/>
    </sheetView>
  </sheetViews>
  <sheetFormatPr defaultRowHeight="15" x14ac:dyDescent="0.25"/>
  <cols>
    <col min="1" max="1" width="46.28515625" bestFit="1" customWidth="1"/>
    <col min="2" max="2" width="19.28515625" bestFit="1" customWidth="1"/>
    <col min="3" max="3" width="22.7109375" bestFit="1" customWidth="1"/>
    <col min="4" max="4" width="25.140625" bestFit="1" customWidth="1"/>
    <col min="5" max="5" width="21.85546875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19</v>
      </c>
    </row>
    <row r="2" spans="1:5" x14ac:dyDescent="0.25">
      <c r="A2" t="s">
        <v>1</v>
      </c>
      <c r="B2" s="2">
        <f>(B$7-B$6-B$5)*0.12</f>
        <v>1890726.3755993436</v>
      </c>
      <c r="C2" s="2">
        <f>B2</f>
        <v>1890726.3755993436</v>
      </c>
      <c r="D2" s="2">
        <f>C2</f>
        <v>1890726.3755993436</v>
      </c>
      <c r="E2" s="2"/>
    </row>
    <row r="3" spans="1:5" x14ac:dyDescent="0.25">
      <c r="A3" t="s">
        <v>2</v>
      </c>
      <c r="B3" s="2">
        <f>(B$7-B$6-B$5)*0.23</f>
        <v>3623892.2198987422</v>
      </c>
      <c r="C3" s="2">
        <f t="shared" ref="C3:C4" si="0">B3</f>
        <v>3623892.2198987422</v>
      </c>
      <c r="D3" s="2">
        <f>C3*0.96730855351545</f>
        <v>3505421.9413261451</v>
      </c>
      <c r="E3" s="2"/>
    </row>
    <row r="4" spans="1:5" x14ac:dyDescent="0.25">
      <c r="A4" t="s">
        <v>3</v>
      </c>
      <c r="B4" s="2">
        <f>(B$7-B$6-B$5)*0.65</f>
        <v>10241434.534496445</v>
      </c>
      <c r="C4" s="2">
        <f t="shared" si="0"/>
        <v>10241434.534496445</v>
      </c>
      <c r="D4" s="2">
        <f>C4*1.80910228893913</f>
        <v>18527802.65837777</v>
      </c>
      <c r="E4" s="2"/>
    </row>
    <row r="5" spans="1:5" x14ac:dyDescent="0.25">
      <c r="A5" t="s">
        <v>4</v>
      </c>
      <c r="B5" s="2">
        <v>585411.87000546884</v>
      </c>
      <c r="C5" s="2">
        <v>0</v>
      </c>
      <c r="D5" s="2">
        <v>0</v>
      </c>
      <c r="E5" s="2"/>
    </row>
    <row r="6" spans="1:5" x14ac:dyDescent="0.25">
      <c r="A6" t="s">
        <v>18</v>
      </c>
      <c r="B6" s="2">
        <v>588920</v>
      </c>
      <c r="C6" s="2">
        <v>0</v>
      </c>
      <c r="D6" s="2">
        <v>0</v>
      </c>
      <c r="E6" s="2"/>
    </row>
    <row r="7" spans="1:5" x14ac:dyDescent="0.25">
      <c r="A7" t="s">
        <v>5</v>
      </c>
      <c r="B7" s="1">
        <v>16930385</v>
      </c>
      <c r="C7" s="2">
        <f>SUM(C2:C6)</f>
        <v>15756053.12999453</v>
      </c>
      <c r="D7" s="2">
        <f>SUM(D2:D6)</f>
        <v>23923950.975303259</v>
      </c>
      <c r="E7" s="2"/>
    </row>
  </sheetData>
  <pageMargins left="0.7" right="0.7" top="0.75" bottom="0.75" header="0.3" footer="0.3"/>
  <ignoredErrors>
    <ignoredError sqref="D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6F5AD-9D17-4003-AD7C-F68E6A0DC310}">
  <dimension ref="A1:Q25"/>
  <sheetViews>
    <sheetView tabSelected="1" zoomScale="115" zoomScaleNormal="115" workbookViewId="0">
      <selection activeCell="D7" sqref="D2:E7"/>
    </sheetView>
  </sheetViews>
  <sheetFormatPr defaultRowHeight="15" x14ac:dyDescent="0.25"/>
  <cols>
    <col min="1" max="1" width="19.42578125" bestFit="1" customWidth="1"/>
    <col min="2" max="2" width="19.28515625" bestFit="1" customWidth="1"/>
    <col min="3" max="3" width="22.7109375" bestFit="1" customWidth="1"/>
    <col min="4" max="4" width="28.85546875" bestFit="1" customWidth="1"/>
    <col min="5" max="5" width="25.5703125" bestFit="1" customWidth="1"/>
    <col min="6" max="6" width="28.85546875" bestFit="1" customWidth="1"/>
    <col min="7" max="7" width="25.5703125" bestFit="1" customWidth="1"/>
    <col min="8" max="8" width="27.140625" bestFit="1" customWidth="1"/>
  </cols>
  <sheetData>
    <row r="1" spans="1:17" x14ac:dyDescent="0.25">
      <c r="A1" t="s">
        <v>0</v>
      </c>
      <c r="B1" t="s">
        <v>6</v>
      </c>
      <c r="C1" t="str">
        <f>_xlfn.CONCAT("Production cost - ",C9)</f>
        <v>Production cost - Import</v>
      </c>
      <c r="D1" t="str">
        <f t="shared" ref="D1:F1" si="0">_xlfn.CONCAT("Production cost - ",D9)</f>
        <v>Production cost - US East Coast</v>
      </c>
      <c r="E1" t="str">
        <f>_xlfn.CONCAT("Landed cost - ",E9)</f>
        <v>Landed cost - US East Coast</v>
      </c>
      <c r="F1" t="str">
        <f t="shared" si="0"/>
        <v>Production cost - US East Coast</v>
      </c>
      <c r="G1" t="str">
        <f>_xlfn.CONCAT("Landed cost - ",G9)</f>
        <v>Landed cost - US East Coast</v>
      </c>
      <c r="H1" t="str">
        <f t="shared" ref="H1:Q1" si="1">_xlfn.CONCAT("Production cost - ",H9)</f>
        <v>Production cost - US Average</v>
      </c>
      <c r="I1" t="str">
        <f t="shared" si="1"/>
        <v>Production cost - GL Average</v>
      </c>
      <c r="J1" t="str">
        <f t="shared" si="1"/>
        <v>Production cost - MN</v>
      </c>
      <c r="K1" t="str">
        <f t="shared" si="1"/>
        <v>Production cost - WI</v>
      </c>
      <c r="L1" t="str">
        <f t="shared" si="1"/>
        <v>Production cost - IL</v>
      </c>
      <c r="M1" t="str">
        <f t="shared" si="1"/>
        <v>Production cost - IN</v>
      </c>
      <c r="N1" t="str">
        <f t="shared" si="1"/>
        <v>Production cost - MI</v>
      </c>
      <c r="O1" t="str">
        <f t="shared" si="1"/>
        <v>Production cost - OH</v>
      </c>
      <c r="P1" t="str">
        <f t="shared" si="1"/>
        <v>Production cost - PA</v>
      </c>
      <c r="Q1" t="str">
        <f t="shared" si="1"/>
        <v>Production cost - NY</v>
      </c>
    </row>
    <row r="2" spans="1:17" x14ac:dyDescent="0.25">
      <c r="A2" t="s">
        <v>1</v>
      </c>
      <c r="B2" s="2">
        <f>(B$7-B$6-B$5)*0.12</f>
        <v>1944686.8484075794</v>
      </c>
      <c r="C2" s="2">
        <f>B2</f>
        <v>1944686.8484075794</v>
      </c>
      <c r="D2" s="2">
        <f t="shared" ref="D2:G2" si="2">C2</f>
        <v>1944686.8484075794</v>
      </c>
      <c r="E2" s="2">
        <f t="shared" si="2"/>
        <v>1944686.8484075794</v>
      </c>
      <c r="F2" s="2">
        <f t="shared" si="2"/>
        <v>1944686.8484075794</v>
      </c>
      <c r="G2" s="2">
        <f t="shared" si="2"/>
        <v>1944686.8484075794</v>
      </c>
      <c r="H2" s="2">
        <f>C2</f>
        <v>1944686.8484075794</v>
      </c>
      <c r="I2" s="2">
        <f t="shared" ref="I2:Q2" si="3">H2</f>
        <v>1944686.8484075794</v>
      </c>
      <c r="J2" s="2">
        <f t="shared" si="3"/>
        <v>1944686.8484075794</v>
      </c>
      <c r="K2" s="2">
        <f t="shared" si="3"/>
        <v>1944686.8484075794</v>
      </c>
      <c r="L2" s="2">
        <f t="shared" si="3"/>
        <v>1944686.8484075794</v>
      </c>
      <c r="M2" s="2">
        <f t="shared" si="3"/>
        <v>1944686.8484075794</v>
      </c>
      <c r="N2" s="2">
        <f t="shared" si="3"/>
        <v>1944686.8484075794</v>
      </c>
      <c r="O2" s="2">
        <f t="shared" si="3"/>
        <v>1944686.8484075794</v>
      </c>
      <c r="P2" s="2">
        <f t="shared" si="3"/>
        <v>1944686.8484075794</v>
      </c>
      <c r="Q2" s="2">
        <f t="shared" si="3"/>
        <v>1944686.8484075794</v>
      </c>
    </row>
    <row r="3" spans="1:17" x14ac:dyDescent="0.25">
      <c r="A3" t="s">
        <v>2</v>
      </c>
      <c r="B3" s="2">
        <f>(B$7-B$6-B$5)*0.23</f>
        <v>3727316.4594478607</v>
      </c>
      <c r="C3" s="2">
        <f t="shared" ref="C3:C4" si="4">B3</f>
        <v>3727316.4594478607</v>
      </c>
      <c r="D3" s="2">
        <f t="shared" ref="D3:G3" si="5">$C$3*D8</f>
        <v>3572222.0173272695</v>
      </c>
      <c r="E3" s="2">
        <f t="shared" si="5"/>
        <v>3572222.0173272695</v>
      </c>
      <c r="F3" s="2">
        <f t="shared" si="5"/>
        <v>3582082.2516022269</v>
      </c>
      <c r="G3" s="2">
        <f t="shared" si="5"/>
        <v>3582082.2516022269</v>
      </c>
      <c r="H3" s="2">
        <f>$C$3*H8</f>
        <v>3597953.7072726665</v>
      </c>
      <c r="I3" s="2">
        <f t="shared" ref="I3:Q3" si="6">$C$3*I8</f>
        <v>3605465.0928828395</v>
      </c>
      <c r="J3" s="2">
        <f t="shared" si="6"/>
        <v>3873663.4651616681</v>
      </c>
      <c r="K3" s="2">
        <f t="shared" si="6"/>
        <v>3514469.2165739499</v>
      </c>
      <c r="L3" s="2">
        <f t="shared" si="6"/>
        <v>3449673.3913385184</v>
      </c>
      <c r="M3" s="2">
        <f t="shared" si="6"/>
        <v>3460942.2305098982</v>
      </c>
      <c r="N3" s="2">
        <f t="shared" si="6"/>
        <v>3700405.0629017106</v>
      </c>
      <c r="O3" s="2">
        <f t="shared" si="6"/>
        <v>3601802.7201521406</v>
      </c>
      <c r="P3" s="2">
        <f t="shared" si="6"/>
        <v>3660964.1258018822</v>
      </c>
      <c r="Q3" s="2">
        <f t="shared" si="6"/>
        <v>3582082.2516022269</v>
      </c>
    </row>
    <row r="4" spans="1:17" x14ac:dyDescent="0.25">
      <c r="A4" t="s">
        <v>3</v>
      </c>
      <c r="B4" s="2">
        <f>(B$7-B$6-B$5)*0.65</f>
        <v>10533720.428874388</v>
      </c>
      <c r="C4" s="2">
        <f t="shared" si="4"/>
        <v>10533720.428874388</v>
      </c>
      <c r="D4" s="2">
        <f t="shared" ref="D4:F4" si="7">$C$4*1.20622259411537</f>
        <v>12706011.581402931</v>
      </c>
      <c r="E4" s="2">
        <f t="shared" si="7"/>
        <v>12706011.581402931</v>
      </c>
      <c r="F4" s="2">
        <f t="shared" si="7"/>
        <v>12706011.581402931</v>
      </c>
      <c r="G4" s="2">
        <f>$C$4*1.20622259411537</f>
        <v>12706011.581402931</v>
      </c>
      <c r="H4" s="2">
        <f>$C$4*1.80910228893913</f>
        <v>19056577.738921531</v>
      </c>
      <c r="I4" s="2">
        <f>H4</f>
        <v>19056577.738921531</v>
      </c>
      <c r="J4" s="2">
        <f t="shared" ref="J4:Q4" si="8">I4</f>
        <v>19056577.738921531</v>
      </c>
      <c r="K4" s="2">
        <f t="shared" si="8"/>
        <v>19056577.738921531</v>
      </c>
      <c r="L4" s="2">
        <f t="shared" si="8"/>
        <v>19056577.738921531</v>
      </c>
      <c r="M4" s="2">
        <f t="shared" si="8"/>
        <v>19056577.738921531</v>
      </c>
      <c r="N4" s="2">
        <f t="shared" si="8"/>
        <v>19056577.738921531</v>
      </c>
      <c r="O4" s="2">
        <f t="shared" si="8"/>
        <v>19056577.738921531</v>
      </c>
      <c r="P4" s="2">
        <f t="shared" si="8"/>
        <v>19056577.738921531</v>
      </c>
      <c r="Q4" s="2">
        <f t="shared" si="8"/>
        <v>19056577.738921531</v>
      </c>
    </row>
    <row r="5" spans="1:17" x14ac:dyDescent="0.25">
      <c r="A5" t="s">
        <v>4</v>
      </c>
      <c r="B5" s="6">
        <v>612579.18883519003</v>
      </c>
      <c r="C5" s="2">
        <v>0</v>
      </c>
      <c r="D5" s="2">
        <v>0</v>
      </c>
      <c r="E5" s="7">
        <v>802027.04577421409</v>
      </c>
      <c r="F5" s="2">
        <v>0</v>
      </c>
      <c r="G5" s="7">
        <v>802461.01433535269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 x14ac:dyDescent="0.25">
      <c r="A6" t="s">
        <v>18</v>
      </c>
      <c r="B6" s="2">
        <v>112082.07443498071</v>
      </c>
      <c r="C6" s="2">
        <v>0</v>
      </c>
      <c r="D6" s="2">
        <v>0</v>
      </c>
      <c r="E6">
        <v>16403.432696296299</v>
      </c>
      <c r="F6" s="2">
        <v>0</v>
      </c>
      <c r="G6">
        <v>15596.398822222223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x14ac:dyDescent="0.25">
      <c r="A7" t="s">
        <v>5</v>
      </c>
      <c r="B7" s="1">
        <v>16930385</v>
      </c>
      <c r="C7" s="2">
        <f>SUM(C2:C6)</f>
        <v>16205723.736729829</v>
      </c>
      <c r="D7" s="2">
        <f t="shared" ref="D7:G7" si="9">SUM(D2:D6)</f>
        <v>18222920.44713778</v>
      </c>
      <c r="E7" s="2">
        <f t="shared" si="9"/>
        <v>19041350.925608292</v>
      </c>
      <c r="F7" s="2">
        <f t="shared" si="9"/>
        <v>18232780.681412738</v>
      </c>
      <c r="G7" s="2">
        <f t="shared" si="9"/>
        <v>19050838.094570313</v>
      </c>
      <c r="H7" s="2">
        <f>SUM(H2:H6)</f>
        <v>24599218.294601776</v>
      </c>
      <c r="I7" s="2">
        <f t="shared" ref="I7:Q7" si="10">SUM(I2:I6)</f>
        <v>24606729.68021195</v>
      </c>
      <c r="J7" s="2">
        <f t="shared" si="10"/>
        <v>24874928.052490778</v>
      </c>
      <c r="K7" s="2">
        <f t="shared" si="10"/>
        <v>24515733.803903058</v>
      </c>
      <c r="L7" s="2">
        <f t="shared" si="10"/>
        <v>24450937.978667628</v>
      </c>
      <c r="M7" s="2">
        <f t="shared" si="10"/>
        <v>24462206.817839008</v>
      </c>
      <c r="N7" s="2">
        <f t="shared" si="10"/>
        <v>24701669.650230821</v>
      </c>
      <c r="O7" s="2">
        <f t="shared" si="10"/>
        <v>24603067.307481252</v>
      </c>
      <c r="P7" s="2">
        <f t="shared" si="10"/>
        <v>24662228.713130992</v>
      </c>
      <c r="Q7" s="2">
        <f t="shared" si="10"/>
        <v>24583346.838931337</v>
      </c>
    </row>
    <row r="8" spans="1:17" x14ac:dyDescent="0.25">
      <c r="C8">
        <v>1</v>
      </c>
      <c r="D8">
        <v>0.95838978423002863</v>
      </c>
      <c r="E8">
        <v>0.95838978423002863</v>
      </c>
      <c r="F8">
        <v>0.96103518189943338</v>
      </c>
      <c r="G8">
        <v>0.96103518189943338</v>
      </c>
      <c r="H8">
        <v>0.9652933273622929</v>
      </c>
      <c r="I8">
        <v>0.9673085535154502</v>
      </c>
      <c r="J8">
        <v>1.0392633701232565</v>
      </c>
      <c r="K8">
        <v>0.94289531216637279</v>
      </c>
      <c r="L8">
        <v>0.9255112703388565</v>
      </c>
      <c r="M8">
        <v>0.92853458196103333</v>
      </c>
      <c r="N8">
        <v>0.99277995393228924</v>
      </c>
      <c r="O8">
        <v>0.96632597723824265</v>
      </c>
      <c r="P8">
        <v>0.98219836325467047</v>
      </c>
      <c r="Q8">
        <v>0.96103518189943338</v>
      </c>
    </row>
    <row r="9" spans="1:17" x14ac:dyDescent="0.25">
      <c r="C9" t="s">
        <v>20</v>
      </c>
      <c r="D9" t="s">
        <v>21</v>
      </c>
      <c r="E9" t="s">
        <v>21</v>
      </c>
      <c r="F9" t="s">
        <v>21</v>
      </c>
      <c r="G9" t="s">
        <v>21</v>
      </c>
      <c r="H9" t="s">
        <v>8</v>
      </c>
      <c r="I9" t="s">
        <v>9</v>
      </c>
      <c r="J9" t="s">
        <v>10</v>
      </c>
      <c r="K9" t="s">
        <v>11</v>
      </c>
      <c r="L9" t="s">
        <v>12</v>
      </c>
      <c r="M9" t="s">
        <v>13</v>
      </c>
      <c r="N9" t="s">
        <v>14</v>
      </c>
      <c r="O9" t="s">
        <v>15</v>
      </c>
      <c r="P9" t="s">
        <v>16</v>
      </c>
      <c r="Q9" t="s">
        <v>17</v>
      </c>
    </row>
    <row r="10" spans="1:17" x14ac:dyDescent="0.25">
      <c r="B10" s="2"/>
      <c r="D10" t="s">
        <v>22</v>
      </c>
      <c r="E10" t="s">
        <v>22</v>
      </c>
      <c r="F10" t="s">
        <v>23</v>
      </c>
      <c r="G10" t="s">
        <v>23</v>
      </c>
    </row>
    <row r="11" spans="1:17" ht="15.75" x14ac:dyDescent="0.25">
      <c r="C11" s="3">
        <v>1</v>
      </c>
      <c r="D11" s="3"/>
      <c r="E11" s="3"/>
      <c r="F11" s="3"/>
      <c r="G11" s="3"/>
      <c r="H11" s="5">
        <v>15756053.12999453</v>
      </c>
    </row>
    <row r="12" spans="1:17" ht="15.75" x14ac:dyDescent="0.25">
      <c r="C12" s="4">
        <v>0.9652933273622929</v>
      </c>
      <c r="D12" s="4"/>
      <c r="E12" s="4"/>
      <c r="F12" s="4"/>
      <c r="G12" s="4"/>
      <c r="H12" s="5">
        <v>23916648.012925498</v>
      </c>
    </row>
    <row r="13" spans="1:17" ht="15.75" x14ac:dyDescent="0.25">
      <c r="C13" s="4">
        <v>0.9673085535154502</v>
      </c>
      <c r="D13" s="4"/>
      <c r="E13" s="4"/>
      <c r="F13" s="4"/>
      <c r="G13" s="4"/>
      <c r="H13" s="5">
        <v>23923950.975303259</v>
      </c>
    </row>
    <row r="14" spans="1:17" ht="15.75" x14ac:dyDescent="0.25">
      <c r="C14" s="4">
        <v>1.0392633701232565</v>
      </c>
      <c r="D14" s="4"/>
      <c r="E14" s="4"/>
      <c r="F14" s="4"/>
      <c r="G14" s="4"/>
      <c r="H14" s="5">
        <v>24184707.475392528</v>
      </c>
    </row>
    <row r="15" spans="1:17" ht="15.75" x14ac:dyDescent="0.25">
      <c r="C15" s="4">
        <v>0.94289531216637279</v>
      </c>
      <c r="D15" s="4"/>
      <c r="E15" s="4"/>
      <c r="F15" s="4"/>
      <c r="G15" s="4"/>
      <c r="H15" s="5">
        <v>23835480.019915827</v>
      </c>
    </row>
    <row r="16" spans="1:17" ht="15.75" x14ac:dyDescent="0.25">
      <c r="C16" s="4">
        <v>0.9255112703388565</v>
      </c>
      <c r="D16" s="4"/>
      <c r="E16" s="4"/>
      <c r="F16" s="4"/>
      <c r="G16" s="4"/>
      <c r="H16" s="5">
        <v>23772482.125986695</v>
      </c>
    </row>
    <row r="17" spans="3:8" ht="15.75" x14ac:dyDescent="0.25">
      <c r="C17" s="4">
        <v>0.92853458196103333</v>
      </c>
      <c r="D17" s="4"/>
      <c r="E17" s="4"/>
      <c r="F17" s="4"/>
      <c r="G17" s="4"/>
      <c r="H17" s="5">
        <v>23783438.281452633</v>
      </c>
    </row>
    <row r="18" spans="3:8" ht="15.75" x14ac:dyDescent="0.25">
      <c r="C18" s="4">
        <v>0.99277995393228924</v>
      </c>
      <c r="D18" s="4"/>
      <c r="E18" s="4"/>
      <c r="F18" s="4"/>
      <c r="G18" s="4"/>
      <c r="H18" s="5">
        <v>24016256.585103769</v>
      </c>
    </row>
    <row r="19" spans="3:8" ht="15.75" x14ac:dyDescent="0.25">
      <c r="C19" s="4">
        <v>0.96632597723824265</v>
      </c>
      <c r="D19" s="4"/>
      <c r="E19" s="4"/>
      <c r="F19" s="4"/>
      <c r="G19" s="4"/>
      <c r="H19" s="5">
        <v>23920390.224776831</v>
      </c>
    </row>
    <row r="20" spans="3:8" ht="15.75" x14ac:dyDescent="0.25">
      <c r="C20" s="4">
        <v>0.98219836325467047</v>
      </c>
      <c r="D20" s="4"/>
      <c r="E20" s="4"/>
      <c r="F20" s="4"/>
      <c r="G20" s="4"/>
      <c r="H20" s="5">
        <v>23977910.040972993</v>
      </c>
    </row>
    <row r="21" spans="3:8" ht="15.75" x14ac:dyDescent="0.25">
      <c r="C21" s="4">
        <v>0.96103518189943338</v>
      </c>
      <c r="D21" s="4"/>
      <c r="E21" s="4"/>
      <c r="F21" s="4"/>
      <c r="G21" s="4"/>
      <c r="H21" s="5">
        <v>23901216.952711444</v>
      </c>
    </row>
    <row r="23" spans="3:8" x14ac:dyDescent="0.25">
      <c r="E23" s="2">
        <f>SUM(E2:E4)</f>
        <v>18222920.44713778</v>
      </c>
      <c r="F23" s="2">
        <f>SUM(F2:F4)</f>
        <v>18232780.681412738</v>
      </c>
      <c r="G23" s="2">
        <f>SUM(G2:G4)</f>
        <v>18232780.681412738</v>
      </c>
    </row>
    <row r="25" spans="3:8" x14ac:dyDescent="0.25">
      <c r="C25">
        <v>1.2062225941153699</v>
      </c>
      <c r="G25">
        <f>G7/B7</f>
        <v>1.1252454149489401</v>
      </c>
    </row>
  </sheetData>
  <pageMargins left="0.7" right="0.7" top="0.75" bottom="0.75" header="0.3" footer="0.3"/>
  <ignoredErrors>
    <ignoredError sqref="E1:G1 I3:Q3 H2" formula="1"/>
  </ignoredErrors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 option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Mulas Hernando, Daniel</cp:lastModifiedBy>
  <dcterms:created xsi:type="dcterms:W3CDTF">2025-03-18T21:13:18Z</dcterms:created>
  <dcterms:modified xsi:type="dcterms:W3CDTF">2025-05-22T19:18:04Z</dcterms:modified>
</cp:coreProperties>
</file>