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de_plots\data\"/>
    </mc:Choice>
  </mc:AlternateContent>
  <xr:revisionPtr revIDLastSave="0" documentId="13_ncr:1_{AECA9F8B-2EEC-41E7-8C22-13F93F7D36F4}" xr6:coauthVersionLast="47" xr6:coauthVersionMax="47" xr10:uidLastSave="{00000000-0000-0000-0000-000000000000}"/>
  <bookViews>
    <workbookView xWindow="-120" yWindow="16080" windowWidth="29040" windowHeight="15720" activeTab="1" xr2:uid="{E194376A-60D2-4E43-93D0-D5BA1364A651}"/>
  </bookViews>
  <sheets>
    <sheet name="Sheet1" sheetId="2" r:id="rId1"/>
    <sheet name="All option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3" l="1"/>
  <c r="B5" i="3"/>
  <c r="E6" i="3" l="1"/>
  <c r="B6" i="3"/>
  <c r="E1" i="3"/>
  <c r="D1" i="3"/>
  <c r="F1" i="3"/>
  <c r="G1" i="3"/>
  <c r="H1" i="3"/>
  <c r="I1" i="3"/>
  <c r="J1" i="3"/>
  <c r="K1" i="3"/>
  <c r="L1" i="3"/>
  <c r="M1" i="3"/>
  <c r="N1" i="3"/>
  <c r="O1" i="3"/>
  <c r="C1" i="3"/>
  <c r="B5" i="2"/>
  <c r="B2" i="3" l="1"/>
  <c r="C2" i="3" s="1"/>
  <c r="D2" i="3" s="1"/>
  <c r="E2" i="3" s="1"/>
  <c r="B4" i="3"/>
  <c r="C4" i="3" s="1"/>
  <c r="B3" i="3"/>
  <c r="C3" i="3" s="1"/>
  <c r="B2" i="2"/>
  <c r="B4" i="2"/>
  <c r="F2" i="3" l="1"/>
  <c r="G2" i="3" s="1"/>
  <c r="H2" i="3" s="1"/>
  <c r="I2" i="3" s="1"/>
  <c r="J2" i="3" s="1"/>
  <c r="K2" i="3" s="1"/>
  <c r="L2" i="3" s="1"/>
  <c r="M2" i="3" s="1"/>
  <c r="N2" i="3" s="1"/>
  <c r="C7" i="3"/>
  <c r="D3" i="3"/>
  <c r="E3" i="3"/>
  <c r="F4" i="3"/>
  <c r="G4" i="3" s="1"/>
  <c r="H4" i="3" s="1"/>
  <c r="I4" i="3" s="1"/>
  <c r="J4" i="3" s="1"/>
  <c r="K4" i="3" s="1"/>
  <c r="L4" i="3" s="1"/>
  <c r="M4" i="3" s="1"/>
  <c r="N4" i="3" s="1"/>
  <c r="O4" i="3" s="1"/>
  <c r="D4" i="3"/>
  <c r="E4" i="3"/>
  <c r="G3" i="3"/>
  <c r="O3" i="3"/>
  <c r="H3" i="3"/>
  <c r="F3" i="3"/>
  <c r="I3" i="3"/>
  <c r="J3" i="3"/>
  <c r="K3" i="3"/>
  <c r="L3" i="3"/>
  <c r="M3" i="3"/>
  <c r="N3" i="3"/>
  <c r="C4" i="2"/>
  <c r="D4" i="2" s="1"/>
  <c r="B3" i="2"/>
  <c r="C3" i="2" s="1"/>
  <c r="D3" i="2" s="1"/>
  <c r="C2" i="2"/>
  <c r="E7" i="3" l="1"/>
  <c r="J7" i="3"/>
  <c r="I7" i="3"/>
  <c r="H7" i="3"/>
  <c r="M7" i="3"/>
  <c r="G7" i="3"/>
  <c r="F7" i="3"/>
  <c r="L7" i="3"/>
  <c r="K7" i="3"/>
  <c r="D7" i="3"/>
  <c r="O2" i="3"/>
  <c r="O7" i="3" s="1"/>
  <c r="N7" i="3"/>
  <c r="C7" i="2"/>
  <c r="D2" i="2"/>
  <c r="D7" i="2" l="1"/>
</calcChain>
</file>

<file path=xl/sharedStrings.xml><?xml version="1.0" encoding="utf-8"?>
<sst xmlns="http://schemas.openxmlformats.org/spreadsheetml/2006/main" count="46" uniqueCount="25">
  <si>
    <t>component costs</t>
  </si>
  <si>
    <t>Other</t>
  </si>
  <si>
    <t>Labor</t>
  </si>
  <si>
    <t>Raw materials</t>
  </si>
  <si>
    <t>Factory amortization</t>
  </si>
  <si>
    <t>Total</t>
  </si>
  <si>
    <t>Landed cost - Import</t>
  </si>
  <si>
    <t>Production cost - Import</t>
  </si>
  <si>
    <t>Transportation</t>
  </si>
  <si>
    <t>Production cost - Great Lakes</t>
  </si>
  <si>
    <t>Import</t>
  </si>
  <si>
    <t>US Average</t>
  </si>
  <si>
    <t>GL Average</t>
  </si>
  <si>
    <t>MN</t>
  </si>
  <si>
    <t>WI</t>
  </si>
  <si>
    <t>IL</t>
  </si>
  <si>
    <t>IN</t>
  </si>
  <si>
    <t>MI</t>
  </si>
  <si>
    <t>OH</t>
  </si>
  <si>
    <t>PA</t>
  </si>
  <si>
    <t>NY</t>
  </si>
  <si>
    <t>Type</t>
  </si>
  <si>
    <t>Labor Ratio</t>
  </si>
  <si>
    <t>US East Coast</t>
  </si>
  <si>
    <t>Albany, 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</si>
</sst>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44" fontId="18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">
    <xf numFmtId="0" fontId="0" fillId="0" borderId="0" xfId="0"/>
    <xf numFmtId="1" fontId="0" fillId="0" borderId="0" xfId="0" applyNumberFormat="1"/>
    <xf numFmtId="0" fontId="18" fillId="0" borderId="0" xfId="42"/>
    <xf numFmtId="2" fontId="18" fillId="0" borderId="0" xfId="42" applyNumberFormat="1"/>
    <xf numFmtId="164" fontId="0" fillId="0" borderId="0" xfId="44" applyNumberFormat="1" applyFont="1"/>
    <xf numFmtId="164" fontId="0" fillId="33" borderId="0" xfId="44" applyNumberFormat="1" applyFont="1" applyFill="1"/>
    <xf numFmtId="164" fontId="0" fillId="0" borderId="0" xfId="0" applyNumberFormat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4" builtinId="3"/>
    <cellStyle name="Currency 2" xfId="43" xr:uid="{3A4B0E27-D947-4D7A-B51E-17B705417C9E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27F5D012-193B-4DC1-8345-CEB7ACE962AB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A60D5-6384-4E20-9FB9-47B01C5A146D}">
  <dimension ref="A1:E8"/>
  <sheetViews>
    <sheetView workbookViewId="0">
      <selection sqref="A1:D7"/>
    </sheetView>
  </sheetViews>
  <sheetFormatPr defaultRowHeight="15" x14ac:dyDescent="0.25"/>
  <cols>
    <col min="1" max="1" width="46.28515625" bestFit="1" customWidth="1"/>
    <col min="2" max="2" width="19.28515625" bestFit="1" customWidth="1"/>
    <col min="3" max="3" width="22.7109375" bestFit="1" customWidth="1"/>
    <col min="4" max="4" width="25.140625" bestFit="1" customWidth="1"/>
    <col min="5" max="5" width="21.85546875" bestFit="1" customWidth="1"/>
  </cols>
  <sheetData>
    <row r="1" spans="1:5" x14ac:dyDescent="0.25">
      <c r="A1" t="s">
        <v>0</v>
      </c>
      <c r="B1" t="s">
        <v>6</v>
      </c>
      <c r="C1" t="s">
        <v>7</v>
      </c>
      <c r="D1" t="s">
        <v>9</v>
      </c>
    </row>
    <row r="2" spans="1:5" x14ac:dyDescent="0.25">
      <c r="A2" t="s">
        <v>1</v>
      </c>
      <c r="B2" s="1">
        <f>(B$7-B$6-B$5)*0.13</f>
        <v>566460.91743396362</v>
      </c>
      <c r="C2" s="1">
        <f>B2</f>
        <v>566460.91743396362</v>
      </c>
      <c r="D2" s="1">
        <f>C2</f>
        <v>566460.91743396362</v>
      </c>
      <c r="E2" s="1"/>
    </row>
    <row r="3" spans="1:5" x14ac:dyDescent="0.25">
      <c r="A3" t="s">
        <v>2</v>
      </c>
      <c r="B3" s="1">
        <f>(B$7-B$6-B$5)*0.23</f>
        <v>1002200.0846908587</v>
      </c>
      <c r="C3" s="1">
        <f t="shared" ref="C3:C4" si="0">B3</f>
        <v>1002200.0846908587</v>
      </c>
      <c r="D3" s="1">
        <f>C3*0.829811755666539</f>
        <v>831637.41180647549</v>
      </c>
      <c r="E3" s="1"/>
    </row>
    <row r="4" spans="1:5" x14ac:dyDescent="0.25">
      <c r="A4" t="s">
        <v>3</v>
      </c>
      <c r="B4" s="1">
        <f>(B$7-B$6-B$5)*0.64</f>
        <v>2788730.6704441286</v>
      </c>
      <c r="C4" s="1">
        <f t="shared" si="0"/>
        <v>2788730.6704441286</v>
      </c>
      <c r="D4" s="1">
        <f>C4*0.951082340352851</f>
        <v>2652312.4926597769</v>
      </c>
      <c r="E4" s="1"/>
    </row>
    <row r="5" spans="1:5" x14ac:dyDescent="0.25">
      <c r="A5" t="s">
        <v>4</v>
      </c>
      <c r="B5" s="1">
        <f>3*86949.4424770165</f>
        <v>260848.32743104952</v>
      </c>
      <c r="C5" s="1">
        <v>0</v>
      </c>
      <c r="D5" s="1">
        <v>0</v>
      </c>
      <c r="E5" s="1"/>
    </row>
    <row r="6" spans="1:5" x14ac:dyDescent="0.25">
      <c r="A6" t="s">
        <v>8</v>
      </c>
      <c r="B6">
        <v>1791307</v>
      </c>
      <c r="C6" s="1">
        <v>0</v>
      </c>
      <c r="D6" s="1">
        <v>0</v>
      </c>
      <c r="E6" s="1"/>
    </row>
    <row r="7" spans="1:5" x14ac:dyDescent="0.25">
      <c r="A7" t="s">
        <v>5</v>
      </c>
      <c r="B7">
        <v>6409547</v>
      </c>
      <c r="C7" s="1">
        <f>SUM(C2:C6)</f>
        <v>4357391.6725689508</v>
      </c>
      <c r="D7" s="1">
        <f>SUM(D2:D6)</f>
        <v>4050410.8219002159</v>
      </c>
      <c r="E7" s="1"/>
    </row>
    <row r="8" spans="1:5" x14ac:dyDescent="0.25">
      <c r="B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42858-2D17-4640-8AA6-C59C18169A2D}">
  <dimension ref="A1:O24"/>
  <sheetViews>
    <sheetView tabSelected="1" zoomScale="115" zoomScaleNormal="115" workbookViewId="0">
      <selection activeCell="E14" sqref="E14"/>
    </sheetView>
  </sheetViews>
  <sheetFormatPr defaultRowHeight="15" x14ac:dyDescent="0.25"/>
  <cols>
    <col min="1" max="1" width="19.42578125" bestFit="1" customWidth="1"/>
    <col min="2" max="2" width="19.28515625" bestFit="1" customWidth="1"/>
    <col min="3" max="3" width="22.7109375" bestFit="1" customWidth="1"/>
    <col min="4" max="4" width="28.85546875" bestFit="1" customWidth="1"/>
    <col min="5" max="5" width="25.5703125" bestFit="1" customWidth="1"/>
    <col min="6" max="6" width="26.5703125" bestFit="1" customWidth="1"/>
    <col min="7" max="7" width="26.42578125" bestFit="1" customWidth="1"/>
    <col min="8" max="8" width="19.7109375" bestFit="1" customWidth="1"/>
    <col min="9" max="9" width="19" bestFit="1" customWidth="1"/>
    <col min="10" max="10" width="18.140625" bestFit="1" customWidth="1"/>
    <col min="11" max="11" width="18.7109375" bestFit="1" customWidth="1"/>
    <col min="12" max="12" width="18.85546875" bestFit="1" customWidth="1"/>
    <col min="13" max="13" width="19.42578125" bestFit="1" customWidth="1"/>
    <col min="14" max="14" width="19" bestFit="1" customWidth="1"/>
    <col min="15" max="15" width="19.140625" bestFit="1" customWidth="1"/>
  </cols>
  <sheetData>
    <row r="1" spans="1:15" x14ac:dyDescent="0.25">
      <c r="A1" t="s">
        <v>0</v>
      </c>
      <c r="B1" t="s">
        <v>6</v>
      </c>
      <c r="C1" t="str">
        <f>_xlfn.CONCAT("Production cost - ",C9)</f>
        <v>Production cost - Import</v>
      </c>
      <c r="D1" t="str">
        <f>_xlfn.CONCAT("Production cost - ",D9)</f>
        <v>Production cost - US East Coast</v>
      </c>
      <c r="E1" t="str">
        <f>_xlfn.CONCAT("Landed cost - ",E9)</f>
        <v>Landed cost - US East Coast</v>
      </c>
      <c r="F1" t="str">
        <f>_xlfn.CONCAT("Production cost - ",F9)</f>
        <v>Production cost - US Average</v>
      </c>
      <c r="G1" t="str">
        <f t="shared" ref="G1:O1" si="0">_xlfn.CONCAT("Production cost - ",G9)</f>
        <v>Production cost - GL Average</v>
      </c>
      <c r="H1" t="str">
        <f t="shared" si="0"/>
        <v>Production cost - MN</v>
      </c>
      <c r="I1" t="str">
        <f t="shared" si="0"/>
        <v>Production cost - WI</v>
      </c>
      <c r="J1" t="str">
        <f t="shared" si="0"/>
        <v>Production cost - IL</v>
      </c>
      <c r="K1" t="str">
        <f t="shared" si="0"/>
        <v>Production cost - IN</v>
      </c>
      <c r="L1" t="str">
        <f t="shared" si="0"/>
        <v>Production cost - MI</v>
      </c>
      <c r="M1" t="str">
        <f t="shared" si="0"/>
        <v>Production cost - OH</v>
      </c>
      <c r="N1" t="str">
        <f t="shared" si="0"/>
        <v>Production cost - PA</v>
      </c>
      <c r="O1" t="str">
        <f t="shared" si="0"/>
        <v>Production cost - NY</v>
      </c>
    </row>
    <row r="2" spans="1:15" x14ac:dyDescent="0.25">
      <c r="A2" t="s">
        <v>1</v>
      </c>
      <c r="B2" s="4">
        <f>(B$7-B$6-B$5)*0.13</f>
        <v>739040.9377268696</v>
      </c>
      <c r="C2" s="4">
        <f>B2</f>
        <v>739040.9377268696</v>
      </c>
      <c r="D2" s="4">
        <f t="shared" ref="D2:E2" si="1">C2</f>
        <v>739040.9377268696</v>
      </c>
      <c r="E2" s="4">
        <f t="shared" si="1"/>
        <v>739040.9377268696</v>
      </c>
      <c r="F2" s="1">
        <f>C2</f>
        <v>739040.9377268696</v>
      </c>
      <c r="G2" s="1">
        <f>F2</f>
        <v>739040.9377268696</v>
      </c>
      <c r="H2" s="1">
        <f t="shared" ref="H2:O2" si="2">G2</f>
        <v>739040.9377268696</v>
      </c>
      <c r="I2" s="1">
        <f t="shared" si="2"/>
        <v>739040.9377268696</v>
      </c>
      <c r="J2" s="1">
        <f t="shared" si="2"/>
        <v>739040.9377268696</v>
      </c>
      <c r="K2" s="1">
        <f t="shared" si="2"/>
        <v>739040.9377268696</v>
      </c>
      <c r="L2" s="1">
        <f t="shared" si="2"/>
        <v>739040.9377268696</v>
      </c>
      <c r="M2" s="1">
        <f t="shared" si="2"/>
        <v>739040.9377268696</v>
      </c>
      <c r="N2" s="1">
        <f t="shared" si="2"/>
        <v>739040.9377268696</v>
      </c>
      <c r="O2" s="1">
        <f t="shared" si="2"/>
        <v>739040.9377268696</v>
      </c>
    </row>
    <row r="3" spans="1:15" x14ac:dyDescent="0.25">
      <c r="A3" t="s">
        <v>2</v>
      </c>
      <c r="B3" s="4">
        <f>(B$7-B$6-B$5)*0.23</f>
        <v>1307533.9667475387</v>
      </c>
      <c r="C3" s="4">
        <f t="shared" ref="C3:C4" si="3">B3</f>
        <v>1307533.9667475387</v>
      </c>
      <c r="D3" s="4">
        <f t="shared" ref="D3:E3" si="4">$C$3*D8</f>
        <v>1229873.7052808697</v>
      </c>
      <c r="E3" s="4">
        <f t="shared" si="4"/>
        <v>1229873.7052808697</v>
      </c>
      <c r="F3" s="1">
        <f>$C$3*F8</f>
        <v>1082746.625172616</v>
      </c>
      <c r="G3" s="1">
        <f t="shared" ref="G3:O3" si="5">$C$3*G8</f>
        <v>1085007.0565404086</v>
      </c>
      <c r="H3" s="1">
        <f t="shared" si="5"/>
        <v>1165717.067309784</v>
      </c>
      <c r="I3" s="1">
        <f t="shared" si="5"/>
        <v>1057623.3028865131</v>
      </c>
      <c r="J3" s="1">
        <f t="shared" si="5"/>
        <v>1038124.0355787858</v>
      </c>
      <c r="K3" s="1">
        <f t="shared" si="5"/>
        <v>1041515.212501869</v>
      </c>
      <c r="L3" s="1">
        <f t="shared" si="5"/>
        <v>1113577.7221173828</v>
      </c>
      <c r="M3" s="1">
        <f t="shared" si="5"/>
        <v>1083904.9240404065</v>
      </c>
      <c r="N3" s="1">
        <f t="shared" si="5"/>
        <v>1101708.6028865923</v>
      </c>
      <c r="O3" s="1">
        <f t="shared" si="5"/>
        <v>1077970.3644250112</v>
      </c>
    </row>
    <row r="4" spans="1:15" x14ac:dyDescent="0.25">
      <c r="A4" t="s">
        <v>3</v>
      </c>
      <c r="B4" s="4">
        <f>(B$7-B$6-B$5)*0.64</f>
        <v>3638355.3857322815</v>
      </c>
      <c r="C4" s="4">
        <f t="shared" si="3"/>
        <v>3638355.3857322815</v>
      </c>
      <c r="D4" s="4">
        <f t="shared" ref="D4:E4" si="6">$C$4*0.909077961212417</f>
        <v>3307548.6962277195</v>
      </c>
      <c r="E4" s="4">
        <f t="shared" si="6"/>
        <v>3307548.6962277195</v>
      </c>
      <c r="F4" s="1">
        <f>$C$4*0.909077961212417</f>
        <v>3307548.6962277195</v>
      </c>
      <c r="G4" s="1">
        <f>F4</f>
        <v>3307548.6962277195</v>
      </c>
      <c r="H4" s="1">
        <f t="shared" ref="H4:O4" si="7">G4</f>
        <v>3307548.6962277195</v>
      </c>
      <c r="I4" s="1">
        <f t="shared" si="7"/>
        <v>3307548.6962277195</v>
      </c>
      <c r="J4" s="1">
        <f t="shared" si="7"/>
        <v>3307548.6962277195</v>
      </c>
      <c r="K4" s="1">
        <f t="shared" si="7"/>
        <v>3307548.6962277195</v>
      </c>
      <c r="L4" s="1">
        <f t="shared" si="7"/>
        <v>3307548.6962277195</v>
      </c>
      <c r="M4" s="1">
        <f t="shared" si="7"/>
        <v>3307548.6962277195</v>
      </c>
      <c r="N4" s="1">
        <f t="shared" si="7"/>
        <v>3307548.6962277195</v>
      </c>
      <c r="O4" s="1">
        <f t="shared" si="7"/>
        <v>3307548.6962277195</v>
      </c>
    </row>
    <row r="5" spans="1:15" x14ac:dyDescent="0.25">
      <c r="A5" t="s">
        <v>4</v>
      </c>
      <c r="B5" s="5">
        <f>3*103625.770916322</f>
        <v>310877.31274896598</v>
      </c>
      <c r="C5" s="4">
        <v>0</v>
      </c>
      <c r="D5" s="4">
        <v>0</v>
      </c>
      <c r="E5" s="5">
        <f>3*155859.669838572</f>
        <v>467579.009515716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</row>
    <row r="6" spans="1:15" x14ac:dyDescent="0.25">
      <c r="A6" t="s">
        <v>8</v>
      </c>
      <c r="B6" s="4">
        <f>137913.132348115*3</f>
        <v>413739.39704434504</v>
      </c>
      <c r="C6" s="4">
        <v>0</v>
      </c>
      <c r="D6" s="4">
        <v>0</v>
      </c>
      <c r="E6" s="4">
        <f>23105.9746428571*3</f>
        <v>69317.923928571312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</row>
    <row r="7" spans="1:15" x14ac:dyDescent="0.25">
      <c r="A7" t="s">
        <v>5</v>
      </c>
      <c r="B7">
        <v>6409547</v>
      </c>
      <c r="C7" s="1">
        <f>SUM(C2:C6)</f>
        <v>5684930.2902066894</v>
      </c>
      <c r="D7" s="1">
        <f t="shared" ref="D7:E7" si="8">SUM(D2:D6)</f>
        <v>5276463.3392354585</v>
      </c>
      <c r="E7" s="1">
        <f t="shared" si="8"/>
        <v>5813360.2726797452</v>
      </c>
      <c r="F7" s="1">
        <f>SUM(F2:F6)</f>
        <v>5129336.2591272052</v>
      </c>
      <c r="G7" s="1">
        <f t="shared" ref="G7:O7" si="9">SUM(G2:G6)</f>
        <v>5131596.6904949974</v>
      </c>
      <c r="H7" s="1">
        <f t="shared" si="9"/>
        <v>5212306.701264373</v>
      </c>
      <c r="I7" s="1">
        <f t="shared" si="9"/>
        <v>5104212.9368411023</v>
      </c>
      <c r="J7" s="1">
        <f t="shared" si="9"/>
        <v>5084713.6695333747</v>
      </c>
      <c r="K7" s="1">
        <f t="shared" si="9"/>
        <v>5088104.8464564579</v>
      </c>
      <c r="L7" s="1">
        <f t="shared" si="9"/>
        <v>5160167.3560719714</v>
      </c>
      <c r="M7" s="1">
        <f t="shared" si="9"/>
        <v>5130494.5579949953</v>
      </c>
      <c r="N7" s="1">
        <f t="shared" si="9"/>
        <v>5148298.2368411813</v>
      </c>
      <c r="O7" s="1">
        <f t="shared" si="9"/>
        <v>5124559.9983796002</v>
      </c>
    </row>
    <row r="8" spans="1:15" x14ac:dyDescent="0.25">
      <c r="A8" t="s">
        <v>22</v>
      </c>
      <c r="C8">
        <v>1</v>
      </c>
      <c r="D8">
        <v>0.94060554949876596</v>
      </c>
      <c r="E8">
        <v>0.94060554949876596</v>
      </c>
      <c r="F8">
        <v>0.82808298117556656</v>
      </c>
      <c r="G8">
        <v>0.82981175566653864</v>
      </c>
      <c r="H8">
        <v>0.89153864982144904</v>
      </c>
      <c r="I8">
        <v>0.80886870229255092</v>
      </c>
      <c r="J8">
        <v>0.7939556921500831</v>
      </c>
      <c r="K8">
        <v>0.79654925913138197</v>
      </c>
      <c r="L8">
        <v>0.85166255748398068</v>
      </c>
      <c r="M8">
        <v>0.82896884639761648</v>
      </c>
      <c r="N8">
        <v>0.84258507304943486</v>
      </c>
      <c r="O8">
        <v>0.82443010418034357</v>
      </c>
    </row>
    <row r="9" spans="1:15" x14ac:dyDescent="0.25">
      <c r="A9" t="s">
        <v>21</v>
      </c>
      <c r="C9" t="s">
        <v>10</v>
      </c>
      <c r="D9" t="s">
        <v>23</v>
      </c>
      <c r="E9" t="s">
        <v>23</v>
      </c>
      <c r="F9" t="s">
        <v>11</v>
      </c>
      <c r="G9" t="s">
        <v>12</v>
      </c>
      <c r="H9" t="s">
        <v>13</v>
      </c>
      <c r="I9" t="s">
        <v>14</v>
      </c>
      <c r="J9" t="s">
        <v>15</v>
      </c>
      <c r="K9" t="s">
        <v>16</v>
      </c>
      <c r="L9" t="s">
        <v>17</v>
      </c>
      <c r="M9" t="s">
        <v>18</v>
      </c>
      <c r="N9" t="s">
        <v>19</v>
      </c>
      <c r="O9" t="s">
        <v>20</v>
      </c>
    </row>
    <row r="10" spans="1:15" x14ac:dyDescent="0.25">
      <c r="D10" t="s">
        <v>24</v>
      </c>
      <c r="E10" t="s">
        <v>24</v>
      </c>
    </row>
    <row r="12" spans="1:15" x14ac:dyDescent="0.25">
      <c r="E12" s="6"/>
    </row>
    <row r="14" spans="1:15" ht="15.75" x14ac:dyDescent="0.25">
      <c r="C14" s="2"/>
      <c r="D14" s="2"/>
      <c r="E14" s="2"/>
      <c r="F14" t="s">
        <v>10</v>
      </c>
      <c r="G14" s="4">
        <v>4357391.6725689508</v>
      </c>
    </row>
    <row r="15" spans="1:15" ht="15.75" x14ac:dyDescent="0.25">
      <c r="C15" s="3"/>
      <c r="D15" s="3"/>
      <c r="E15" s="3"/>
      <c r="F15" t="s">
        <v>11</v>
      </c>
      <c r="G15" s="4">
        <v>4048678.2439589519</v>
      </c>
    </row>
    <row r="16" spans="1:15" ht="15.75" x14ac:dyDescent="0.25">
      <c r="C16" s="3"/>
      <c r="D16" s="3"/>
      <c r="E16" s="3"/>
      <c r="F16" t="s">
        <v>12</v>
      </c>
      <c r="G16" s="4">
        <v>4050410.8219002159</v>
      </c>
    </row>
    <row r="17" spans="3:7" ht="15.75" x14ac:dyDescent="0.25">
      <c r="C17" s="3"/>
      <c r="D17" s="3"/>
      <c r="E17" s="3"/>
      <c r="F17" t="s">
        <v>13</v>
      </c>
      <c r="G17" s="4">
        <v>4112273.5204499708</v>
      </c>
    </row>
    <row r="18" spans="3:7" ht="15.75" x14ac:dyDescent="0.25">
      <c r="C18" s="3"/>
      <c r="D18" s="3"/>
      <c r="E18" s="3"/>
      <c r="F18" t="s">
        <v>14</v>
      </c>
      <c r="G18" s="4">
        <v>4029421.69203512</v>
      </c>
    </row>
    <row r="19" spans="3:7" ht="15.75" x14ac:dyDescent="0.25">
      <c r="C19" s="3"/>
      <c r="D19" s="3"/>
      <c r="E19" s="3"/>
      <c r="F19" t="s">
        <v>15</v>
      </c>
      <c r="G19" s="4">
        <v>4014475.872007343</v>
      </c>
    </row>
    <row r="20" spans="3:7" ht="15.75" x14ac:dyDescent="0.25">
      <c r="C20" s="3"/>
      <c r="D20" s="3"/>
      <c r="E20" s="3"/>
      <c r="F20" t="s">
        <v>16</v>
      </c>
      <c r="G20" s="4">
        <v>4017075.1450556526</v>
      </c>
    </row>
    <row r="21" spans="3:7" ht="15.75" x14ac:dyDescent="0.25">
      <c r="C21" s="3"/>
      <c r="D21" s="3"/>
      <c r="E21" s="3"/>
      <c r="F21" t="s">
        <v>17</v>
      </c>
      <c r="G21" s="4">
        <v>4072309.6973322192</v>
      </c>
    </row>
    <row r="22" spans="3:7" ht="15.75" x14ac:dyDescent="0.25">
      <c r="C22" s="3"/>
      <c r="D22" s="3"/>
      <c r="E22" s="3"/>
      <c r="F22" t="s">
        <v>18</v>
      </c>
      <c r="G22" s="4">
        <v>4049566.0581595153</v>
      </c>
    </row>
    <row r="23" spans="3:7" ht="15.75" x14ac:dyDescent="0.25">
      <c r="C23" s="3"/>
      <c r="D23" s="3"/>
      <c r="E23" s="3"/>
      <c r="F23" t="s">
        <v>19</v>
      </c>
      <c r="G23" s="4">
        <v>4063212.2416631375</v>
      </c>
    </row>
    <row r="24" spans="3:7" ht="15.75" x14ac:dyDescent="0.25">
      <c r="C24" s="3"/>
      <c r="D24" s="3"/>
      <c r="E24" s="3"/>
      <c r="F24" t="s">
        <v>20</v>
      </c>
      <c r="G24" s="4">
        <v>4045017.3303249744</v>
      </c>
    </row>
  </sheetData>
  <pageMargins left="0.7" right="0.7" top="0.75" bottom="0.75" header="0.3" footer="0.3"/>
  <ignoredErrors>
    <ignoredError sqref="G3:O3 F2 E1" formula="1"/>
  </ignoredErrors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All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Mulas Hernando, Daniel</cp:lastModifiedBy>
  <dcterms:created xsi:type="dcterms:W3CDTF">2025-03-18T21:13:18Z</dcterms:created>
  <dcterms:modified xsi:type="dcterms:W3CDTF">2025-05-21T20:18:15Z</dcterms:modified>
</cp:coreProperties>
</file>