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3A63019B-01EC-4340-A7B1-C1B931AEB369}" xr6:coauthVersionLast="47" xr6:coauthVersionMax="47" xr10:uidLastSave="{00000000-0000-0000-0000-000000000000}"/>
  <bookViews>
    <workbookView xWindow="-120" yWindow="16080" windowWidth="29040" windowHeight="15720" activeTab="1" xr2:uid="{E194376A-60D2-4E43-93D0-D5BA1364A651}"/>
  </bookViews>
  <sheets>
    <sheet name="Sheet1" sheetId="2" r:id="rId1"/>
    <sheet name="All op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1" i="3"/>
  <c r="D1" i="3"/>
  <c r="C1" i="3"/>
  <c r="B4" i="3" l="1"/>
  <c r="D4" i="3" s="1"/>
  <c r="F1" i="3"/>
  <c r="G1" i="3"/>
  <c r="H1" i="3"/>
  <c r="I1" i="3"/>
  <c r="J1" i="3"/>
  <c r="K1" i="3"/>
  <c r="L1" i="3"/>
  <c r="M1" i="3"/>
  <c r="N1" i="3"/>
  <c r="O1" i="3"/>
  <c r="B2" i="2"/>
  <c r="C4" i="3" l="1"/>
  <c r="E4" i="3"/>
  <c r="B2" i="3"/>
  <c r="B3" i="3"/>
  <c r="C3" i="3" s="1"/>
  <c r="B4" i="2"/>
  <c r="C4" i="2" s="1"/>
  <c r="D4" i="2" s="1"/>
  <c r="B3" i="2"/>
  <c r="C3" i="2" s="1"/>
  <c r="D3" i="2" s="1"/>
  <c r="C2" i="2"/>
  <c r="E3" i="3" l="1"/>
  <c r="D3" i="3"/>
  <c r="C2" i="3"/>
  <c r="E2" i="3"/>
  <c r="E7" i="3" s="1"/>
  <c r="F4" i="3"/>
  <c r="G4" i="3" s="1"/>
  <c r="H4" i="3" s="1"/>
  <c r="I4" i="3" s="1"/>
  <c r="J4" i="3" s="1"/>
  <c r="K4" i="3" s="1"/>
  <c r="L4" i="3" s="1"/>
  <c r="M4" i="3" s="1"/>
  <c r="N4" i="3" s="1"/>
  <c r="O4" i="3" s="1"/>
  <c r="C7" i="3"/>
  <c r="G3" i="3"/>
  <c r="M3" i="3"/>
  <c r="N3" i="3"/>
  <c r="O3" i="3"/>
  <c r="H3" i="3"/>
  <c r="F3" i="3"/>
  <c r="I3" i="3"/>
  <c r="J3" i="3"/>
  <c r="K3" i="3"/>
  <c r="L3" i="3"/>
  <c r="C7" i="2"/>
  <c r="D2" i="2"/>
  <c r="D7" i="2" s="1"/>
  <c r="F2" i="3" l="1"/>
  <c r="G2" i="3" s="1"/>
  <c r="G7" i="3" s="1"/>
  <c r="D2" i="3"/>
  <c r="D7" i="3" s="1"/>
  <c r="H2" i="3" l="1"/>
  <c r="F7" i="3"/>
  <c r="I2" i="3"/>
  <c r="H7" i="3"/>
  <c r="J2" i="3" l="1"/>
  <c r="I7" i="3"/>
  <c r="K2" i="3" l="1"/>
  <c r="J7" i="3"/>
  <c r="L2" i="3" l="1"/>
  <c r="K7" i="3"/>
  <c r="M2" i="3" l="1"/>
  <c r="L7" i="3"/>
  <c r="N2" i="3" l="1"/>
  <c r="M7" i="3"/>
  <c r="O2" i="3" l="1"/>
  <c r="O7" i="3" s="1"/>
  <c r="N7" i="3"/>
</calcChain>
</file>

<file path=xl/sharedStrings.xml><?xml version="1.0" encoding="utf-8"?>
<sst xmlns="http://schemas.openxmlformats.org/spreadsheetml/2006/main" count="33" uniqueCount="23">
  <si>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</si>
  <si>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</si>
  <si>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</si>
  <si>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</si>
  <si>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</si>
  <si>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</si>
  <si>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</si>
  <si>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</si>
  <si>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Transportation</t>
  </si>
  <si>
    <t>Production cost - Great Lakes</t>
  </si>
  <si>
    <t>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</si>
  <si>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</si>
  <si>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</si>
  <si>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</si>
  <si>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</si>
  <si>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</si>
  <si>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</si>
  <si>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</si>
  <si>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</si>
  <si>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</si>
  <si>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</si>
  <si>
    <t>Virginia</t>
  </si>
  <si>
    <t>US East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</si>
</sst>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1" fontId="0" fillId="0" borderId="0" xfId="1" applyNumberFormat="1" applyFont="1"/>
    <xf numFmtId="1" fontId="0" fillId="0" borderId="0" xfId="0" applyNumberFormat="1"/>
    <xf numFmtId="2" fontId="18" fillId="0" borderId="0" xfId="43" applyNumberFormat="1"/>
    <xf numFmtId="0" fontId="18" fillId="0" borderId="0" xfId="43"/>
    <xf numFmtId="164" fontId="0" fillId="0" borderId="0" xfId="45" applyNumberFormat="1" applyFont="1"/>
    <xf numFmtId="1" fontId="0" fillId="33" borderId="0" xfId="0" applyNumberFormat="1" applyFill="1"/>
    <xf numFmtId="0" fontId="0" fillId="0" borderId="10" xfId="0" applyBorder="1"/>
    <xf numFmtId="0" fontId="0" fillId="0" borderId="11" xfId="0" applyBorder="1"/>
    <xf numFmtId="1" fontId="0" fillId="0" borderId="12" xfId="0" applyNumberFormat="1" applyBorder="1"/>
    <xf numFmtId="1" fontId="0" fillId="0" borderId="13" xfId="0" applyNumberFormat="1" applyBorder="1"/>
    <xf numFmtId="1" fontId="0" fillId="33" borderId="13" xfId="0" applyNumberFormat="1" applyFill="1" applyBorder="1"/>
    <xf numFmtId="1" fontId="0" fillId="0" borderId="14" xfId="0" applyNumberFormat="1" applyBorder="1"/>
    <xf numFmtId="1" fontId="0" fillId="0" borderId="15" xfId="0" applyNumberFormat="1" applyBorder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5" builtinId="3"/>
    <cellStyle name="Currency 2" xfId="44" xr:uid="{3A4B0E27-D947-4D7A-B51E-17B705417C9E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27F5D012-193B-4DC1-8345-CEB7ACE962AB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14"/>
  <sheetViews>
    <sheetView workbookViewId="0">
      <selection sqref="A1:D7"/>
    </sheetView>
  </sheetViews>
  <sheetFormatPr defaultRowHeight="15" x14ac:dyDescent="0.25"/>
  <cols>
    <col min="1" max="1" width="46.285156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9</v>
      </c>
    </row>
    <row r="2" spans="1:5" x14ac:dyDescent="0.25">
      <c r="A2" t="s">
        <v>1</v>
      </c>
      <c r="B2" s="2">
        <f>(B$7-B$6-B$5)*0.08</f>
        <v>48090.284130331253</v>
      </c>
      <c r="C2" s="2">
        <f>B2</f>
        <v>48090.284130331253</v>
      </c>
      <c r="D2" s="2">
        <f>C2</f>
        <v>48090.284130331253</v>
      </c>
      <c r="E2" s="2"/>
    </row>
    <row r="3" spans="1:5" x14ac:dyDescent="0.25">
      <c r="A3" t="s">
        <v>2</v>
      </c>
      <c r="B3" s="2">
        <f>(B$7-B$6-B$5)*0.18</f>
        <v>108203.1392932453</v>
      </c>
      <c r="C3" s="2">
        <f t="shared" ref="C3:C4" si="0">B3</f>
        <v>108203.1392932453</v>
      </c>
      <c r="D3" s="2">
        <f>C3*1.39715394566624</f>
        <v>151176.44299703147</v>
      </c>
      <c r="E3" s="2"/>
    </row>
    <row r="4" spans="1:5" x14ac:dyDescent="0.25">
      <c r="A4" t="s">
        <v>3</v>
      </c>
      <c r="B4" s="2">
        <f>(B$7-B$6-B$5)*0.74</f>
        <v>444835.12820556405</v>
      </c>
      <c r="C4" s="2">
        <f t="shared" si="0"/>
        <v>444835.12820556405</v>
      </c>
      <c r="D4" s="2">
        <f>C4*1.23239429431233</f>
        <v>548212.27391023096</v>
      </c>
      <c r="E4" s="2"/>
    </row>
    <row r="5" spans="1:5" x14ac:dyDescent="0.25">
      <c r="A5" t="s">
        <v>4</v>
      </c>
      <c r="B5" s="2">
        <v>30553.448370859332</v>
      </c>
      <c r="C5" s="2">
        <v>0</v>
      </c>
      <c r="D5" s="2">
        <v>0</v>
      </c>
      <c r="E5" s="2"/>
    </row>
    <row r="6" spans="1:5" x14ac:dyDescent="0.25">
      <c r="A6" t="s">
        <v>8</v>
      </c>
      <c r="B6" s="2">
        <v>18318</v>
      </c>
      <c r="C6" s="2">
        <v>0</v>
      </c>
      <c r="D6" s="2">
        <v>0</v>
      </c>
      <c r="E6" s="2"/>
    </row>
    <row r="7" spans="1:5" x14ac:dyDescent="0.25">
      <c r="A7" t="s">
        <v>5</v>
      </c>
      <c r="B7" s="1">
        <v>650000</v>
      </c>
      <c r="C7" s="2">
        <f>SUM(C2:C6)</f>
        <v>601128.55162914062</v>
      </c>
      <c r="D7" s="2">
        <f>SUM(D2:D6)</f>
        <v>747479.0010375937</v>
      </c>
      <c r="E7" s="2"/>
    </row>
    <row r="8" spans="1:5" x14ac:dyDescent="0.25">
      <c r="B8" s="2"/>
    </row>
    <row r="9" spans="1:5" ht="15.75" x14ac:dyDescent="0.25">
      <c r="D9" s="3"/>
    </row>
    <row r="10" spans="1:5" ht="15.75" x14ac:dyDescent="0.25">
      <c r="D10" s="4"/>
      <c r="E10" s="4"/>
    </row>
    <row r="11" spans="1:5" ht="15.75" x14ac:dyDescent="0.25">
      <c r="D11" s="4"/>
      <c r="E11" s="3"/>
    </row>
    <row r="12" spans="1:5" ht="15.75" x14ac:dyDescent="0.25">
      <c r="C12" s="4"/>
      <c r="D12" s="4"/>
      <c r="E12" s="3"/>
    </row>
    <row r="13" spans="1:5" ht="15.75" x14ac:dyDescent="0.25">
      <c r="C13" s="4"/>
      <c r="D13" s="3"/>
    </row>
    <row r="14" spans="1:5" ht="15.75" x14ac:dyDescent="0.25">
      <c r="C14" s="4"/>
      <c r="D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B901-8644-42B8-AD25-43050D1CD2A2}">
  <dimension ref="A1:O22"/>
  <sheetViews>
    <sheetView tabSelected="1" zoomScale="85" zoomScaleNormal="85" workbookViewId="0">
      <selection activeCell="D11" sqref="D11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5" width="28.85546875" bestFit="1" customWidth="1"/>
    <col min="6" max="6" width="26.5703125" bestFit="1" customWidth="1"/>
    <col min="7" max="7" width="26.42578125" bestFit="1" customWidth="1"/>
    <col min="8" max="8" width="19.7109375" bestFit="1" customWidth="1"/>
    <col min="9" max="9" width="19" bestFit="1" customWidth="1"/>
    <col min="10" max="10" width="18.140625" bestFit="1" customWidth="1"/>
    <col min="11" max="11" width="18.7109375" bestFit="1" customWidth="1"/>
    <col min="12" max="12" width="18.85546875" bestFit="1" customWidth="1"/>
    <col min="13" max="13" width="19.42578125" bestFit="1" customWidth="1"/>
    <col min="14" max="14" width="19" bestFit="1" customWidth="1"/>
    <col min="15" max="15" width="19.140625" bestFit="1" customWidth="1"/>
  </cols>
  <sheetData>
    <row r="1" spans="1:15" x14ac:dyDescent="0.25">
      <c r="A1" t="s">
        <v>0</v>
      </c>
      <c r="B1" t="s">
        <v>6</v>
      </c>
      <c r="C1" t="str">
        <f>_xlfn.CONCAT("Production cost - ",C9)</f>
        <v>Production cost - Import</v>
      </c>
      <c r="D1" s="7" t="str">
        <f>_xlfn.CONCAT("Production cost - ",D9)</f>
        <v>Production cost - US East Coast</v>
      </c>
      <c r="E1" s="8" t="str">
        <f>_xlfn.CONCAT("Landed cost - ",E9)</f>
        <v>Landed cost - US East Coast</v>
      </c>
      <c r="F1" t="str">
        <f t="shared" ref="F1:O1" si="0">_xlfn.CONCAT("Production cost - ",F9)</f>
        <v>Production cost - US Average</v>
      </c>
      <c r="G1" t="str">
        <f t="shared" si="0"/>
        <v>Production cost - GL Average</v>
      </c>
      <c r="H1" t="str">
        <f t="shared" si="0"/>
        <v>Production cost - MN</v>
      </c>
      <c r="I1" t="str">
        <f t="shared" si="0"/>
        <v>Production cost - WI</v>
      </c>
      <c r="J1" t="str">
        <f t="shared" si="0"/>
        <v>Production cost - IL</v>
      </c>
      <c r="K1" t="str">
        <f t="shared" si="0"/>
        <v>Production cost - IN</v>
      </c>
      <c r="L1" t="str">
        <f t="shared" si="0"/>
        <v>Production cost - MI</v>
      </c>
      <c r="M1" t="str">
        <f t="shared" si="0"/>
        <v>Production cost - OH</v>
      </c>
      <c r="N1" t="str">
        <f t="shared" si="0"/>
        <v>Production cost - PA</v>
      </c>
      <c r="O1" t="str">
        <f t="shared" si="0"/>
        <v>Production cost - NY</v>
      </c>
    </row>
    <row r="2" spans="1:15" x14ac:dyDescent="0.25">
      <c r="A2" t="s">
        <v>1</v>
      </c>
      <c r="B2" s="2">
        <f>(B$7-B$6-B$5)*0.08</f>
        <v>49099.540186061618</v>
      </c>
      <c r="C2" s="2">
        <f>B2</f>
        <v>49099.540186061618</v>
      </c>
      <c r="D2" s="9">
        <f>C2</f>
        <v>49099.540186061618</v>
      </c>
      <c r="E2" s="10">
        <f>B2</f>
        <v>49099.540186061618</v>
      </c>
      <c r="F2" s="2">
        <f>C2</f>
        <v>49099.540186061618</v>
      </c>
      <c r="G2" s="2">
        <f>F2</f>
        <v>49099.540186061618</v>
      </c>
      <c r="H2" s="2">
        <f t="shared" ref="H2:O2" si="1">G2</f>
        <v>49099.540186061618</v>
      </c>
      <c r="I2" s="2">
        <f t="shared" si="1"/>
        <v>49099.540186061618</v>
      </c>
      <c r="J2" s="2">
        <f t="shared" si="1"/>
        <v>49099.540186061618</v>
      </c>
      <c r="K2" s="2">
        <f t="shared" si="1"/>
        <v>49099.540186061618</v>
      </c>
      <c r="L2" s="2">
        <f t="shared" si="1"/>
        <v>49099.540186061618</v>
      </c>
      <c r="M2" s="2">
        <f t="shared" si="1"/>
        <v>49099.540186061618</v>
      </c>
      <c r="N2" s="2">
        <f t="shared" si="1"/>
        <v>49099.540186061618</v>
      </c>
      <c r="O2" s="2">
        <f t="shared" si="1"/>
        <v>49099.540186061618</v>
      </c>
    </row>
    <row r="3" spans="1:15" x14ac:dyDescent="0.25">
      <c r="A3" t="s">
        <v>2</v>
      </c>
      <c r="B3" s="2">
        <f>(B$7-B$6-B$5)*0.18</f>
        <v>110473.96541863863</v>
      </c>
      <c r="C3" s="2">
        <f t="shared" ref="C3:C4" si="2">B3</f>
        <v>110473.96541863863</v>
      </c>
      <c r="D3" s="9">
        <f>$C$3*D8</f>
        <v>148403.35418216584</v>
      </c>
      <c r="E3" s="10">
        <f>$C$3*E8</f>
        <v>148403.35418216584</v>
      </c>
      <c r="F3" s="2">
        <f>$C$3*F8</f>
        <v>154027.57597663361</v>
      </c>
      <c r="G3" s="2">
        <f>$C$3*G8</f>
        <v>154349.1366780462</v>
      </c>
      <c r="H3" s="2">
        <f t="shared" ref="H3:O3" si="3">$C$3*H8</f>
        <v>165830.64770457376</v>
      </c>
      <c r="I3" s="2">
        <f t="shared" si="3"/>
        <v>150453.62400833148</v>
      </c>
      <c r="J3" s="2">
        <f t="shared" si="3"/>
        <v>147679.72953763677</v>
      </c>
      <c r="K3" s="2">
        <f t="shared" si="3"/>
        <v>148162.14596732284</v>
      </c>
      <c r="L3" s="2">
        <f t="shared" si="3"/>
        <v>158413.49509815103</v>
      </c>
      <c r="M3" s="2">
        <f t="shared" si="3"/>
        <v>154192.35133839824</v>
      </c>
      <c r="N3" s="2">
        <f t="shared" si="3"/>
        <v>156725.03759424991</v>
      </c>
      <c r="O3" s="2">
        <f t="shared" si="3"/>
        <v>153348.12258644769</v>
      </c>
    </row>
    <row r="4" spans="1:15" x14ac:dyDescent="0.25">
      <c r="A4" t="s">
        <v>3</v>
      </c>
      <c r="B4" s="2">
        <f>(B$7-B$6-B$5)*0.74</f>
        <v>454170.74672106997</v>
      </c>
      <c r="C4" s="2">
        <f t="shared" si="2"/>
        <v>454170.74672106997</v>
      </c>
      <c r="D4" s="9">
        <f>B4*1.17422555865293</f>
        <v>533298.89879236673</v>
      </c>
      <c r="E4" s="10">
        <f>B4*1.17422555865293</f>
        <v>533298.89879236673</v>
      </c>
      <c r="F4" s="2">
        <f>C4*1.17422555865293</f>
        <v>533298.89879236673</v>
      </c>
      <c r="G4" s="2">
        <f>F4</f>
        <v>533298.89879236673</v>
      </c>
      <c r="H4" s="2">
        <f t="shared" ref="H4:O4" si="4">G4</f>
        <v>533298.89879236673</v>
      </c>
      <c r="I4" s="2">
        <f t="shared" si="4"/>
        <v>533298.89879236673</v>
      </c>
      <c r="J4" s="2">
        <f t="shared" si="4"/>
        <v>533298.89879236673</v>
      </c>
      <c r="K4" s="2">
        <f t="shared" si="4"/>
        <v>533298.89879236673</v>
      </c>
      <c r="L4" s="2">
        <f t="shared" si="4"/>
        <v>533298.89879236673</v>
      </c>
      <c r="M4" s="2">
        <f t="shared" si="4"/>
        <v>533298.89879236673</v>
      </c>
      <c r="N4" s="2">
        <f t="shared" si="4"/>
        <v>533298.89879236673</v>
      </c>
      <c r="O4" s="2">
        <f t="shared" si="4"/>
        <v>533298.89879236673</v>
      </c>
    </row>
    <row r="5" spans="1:15" x14ac:dyDescent="0.25">
      <c r="A5" t="s">
        <v>4</v>
      </c>
      <c r="B5" s="6">
        <v>32508.864827788155</v>
      </c>
      <c r="C5" s="2">
        <v>0</v>
      </c>
      <c r="D5" s="9">
        <v>0</v>
      </c>
      <c r="E5" s="11">
        <v>85570.451255163323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x14ac:dyDescent="0.25">
      <c r="A6" t="s">
        <v>8</v>
      </c>
      <c r="B6" s="2">
        <v>3746.8828464416206</v>
      </c>
      <c r="C6" s="2">
        <v>0</v>
      </c>
      <c r="D6" s="9">
        <v>0</v>
      </c>
      <c r="E6" s="10">
        <v>601.51872848880134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ht="15.75" thickBot="1" x14ac:dyDescent="0.3">
      <c r="A7" t="s">
        <v>5</v>
      </c>
      <c r="B7" s="1">
        <v>650000</v>
      </c>
      <c r="C7" s="2">
        <f>SUM(C2:C6)</f>
        <v>613744.25232577021</v>
      </c>
      <c r="D7" s="12">
        <f>SUM(D2:D6)</f>
        <v>730801.79316059418</v>
      </c>
      <c r="E7" s="13">
        <f>SUM(E2:E6)</f>
        <v>816973.7631442463</v>
      </c>
      <c r="F7" s="2">
        <f>SUM(F2:F6)</f>
        <v>736426.01495506195</v>
      </c>
      <c r="G7" s="2">
        <f t="shared" ref="G7:O7" si="5">SUM(G2:G6)</f>
        <v>736747.57565647457</v>
      </c>
      <c r="H7" s="2">
        <f t="shared" si="5"/>
        <v>748229.08668300207</v>
      </c>
      <c r="I7" s="2">
        <f t="shared" si="5"/>
        <v>732852.06298675982</v>
      </c>
      <c r="J7" s="2">
        <f t="shared" si="5"/>
        <v>730078.16851606511</v>
      </c>
      <c r="K7" s="2">
        <f t="shared" si="5"/>
        <v>730560.58494575112</v>
      </c>
      <c r="L7" s="2">
        <f t="shared" si="5"/>
        <v>740811.9340765794</v>
      </c>
      <c r="M7" s="2">
        <f t="shared" si="5"/>
        <v>736590.79031682655</v>
      </c>
      <c r="N7" s="2">
        <f t="shared" si="5"/>
        <v>739123.47657267819</v>
      </c>
      <c r="O7" s="2">
        <f t="shared" si="5"/>
        <v>735746.561564876</v>
      </c>
    </row>
    <row r="8" spans="1:15" x14ac:dyDescent="0.25">
      <c r="C8">
        <v>1</v>
      </c>
      <c r="D8">
        <v>1.3433332787484782</v>
      </c>
      <c r="E8">
        <v>1.3433332787484782</v>
      </c>
      <c r="F8">
        <v>1.3942432082794307</v>
      </c>
      <c r="G8">
        <v>1.3971539456662354</v>
      </c>
      <c r="H8">
        <v>1.5010835093694901</v>
      </c>
      <c r="I8">
        <v>1.3618921294097737</v>
      </c>
      <c r="J8">
        <v>1.3367830961621385</v>
      </c>
      <c r="K8">
        <v>1.3411498845530319</v>
      </c>
      <c r="L8">
        <v>1.4339441378595095</v>
      </c>
      <c r="M8">
        <v>1.395734739439195</v>
      </c>
      <c r="N8">
        <v>1.4186603784913836</v>
      </c>
      <c r="O8">
        <v>1.3880928597551323</v>
      </c>
    </row>
    <row r="9" spans="1:15" x14ac:dyDescent="0.25">
      <c r="C9" t="s">
        <v>10</v>
      </c>
      <c r="D9" t="s">
        <v>22</v>
      </c>
      <c r="E9" t="s">
        <v>22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N9" t="s">
        <v>19</v>
      </c>
      <c r="O9" t="s">
        <v>20</v>
      </c>
    </row>
    <row r="10" spans="1:15" x14ac:dyDescent="0.25">
      <c r="D10" t="s">
        <v>21</v>
      </c>
      <c r="E10" t="s">
        <v>21</v>
      </c>
    </row>
    <row r="11" spans="1:15" x14ac:dyDescent="0.25">
      <c r="E11" s="2">
        <f>SUM(E2:E4)</f>
        <v>730801.79316059418</v>
      </c>
    </row>
    <row r="12" spans="1:15" ht="15.75" x14ac:dyDescent="0.25">
      <c r="C12" s="4">
        <v>1</v>
      </c>
      <c r="D12" s="4"/>
      <c r="E12" s="4"/>
      <c r="F12" s="5">
        <v>615699.66878269904</v>
      </c>
    </row>
    <row r="13" spans="1:15" ht="15.75" x14ac:dyDescent="0.25">
      <c r="C13" s="3">
        <v>1.3942432082794307</v>
      </c>
      <c r="D13" s="3"/>
      <c r="E13" s="3"/>
      <c r="F13" s="5">
        <v>765275.00970501138</v>
      </c>
    </row>
    <row r="14" spans="1:15" ht="15.75" x14ac:dyDescent="0.25">
      <c r="C14" s="3">
        <v>1.3971539456662354</v>
      </c>
      <c r="D14" s="3"/>
      <c r="E14" s="3"/>
      <c r="F14" s="5">
        <v>765597.59491310583</v>
      </c>
    </row>
    <row r="15" spans="1:15" ht="15.75" x14ac:dyDescent="0.25">
      <c r="C15" s="3">
        <v>1.5010835093694901</v>
      </c>
      <c r="D15" s="3"/>
      <c r="E15" s="3"/>
      <c r="F15" s="5">
        <v>777115.68654389423</v>
      </c>
    </row>
    <row r="16" spans="1:15" ht="15.75" x14ac:dyDescent="0.25">
      <c r="C16" s="3">
        <v>1.3618921294097737</v>
      </c>
      <c r="D16" s="3"/>
      <c r="E16" s="3"/>
      <c r="F16" s="5">
        <v>761689.67096694547</v>
      </c>
    </row>
    <row r="17" spans="3:6" ht="15.75" x14ac:dyDescent="0.25">
      <c r="C17" s="3">
        <v>1.3367830961621385</v>
      </c>
      <c r="D17" s="3"/>
      <c r="E17" s="3"/>
      <c r="F17" s="5">
        <v>758906.93874522136</v>
      </c>
    </row>
    <row r="18" spans="3:6" ht="15.75" x14ac:dyDescent="0.25">
      <c r="C18" s="3">
        <v>1.3411498845530319</v>
      </c>
      <c r="D18" s="3"/>
      <c r="E18" s="3"/>
      <c r="F18" s="5">
        <v>759390.89217508642</v>
      </c>
    </row>
    <row r="19" spans="3:6" ht="15.75" x14ac:dyDescent="0.25">
      <c r="C19" s="3">
        <v>1.4339441378595095</v>
      </c>
      <c r="D19" s="3"/>
      <c r="E19" s="3"/>
      <c r="F19" s="5">
        <v>769674.90255971893</v>
      </c>
    </row>
    <row r="20" spans="3:6" ht="15.75" x14ac:dyDescent="0.25">
      <c r="C20" s="3">
        <v>1.395734739439195</v>
      </c>
      <c r="D20" s="3"/>
      <c r="E20" s="3"/>
      <c r="F20" s="5">
        <v>765440.31004839973</v>
      </c>
    </row>
    <row r="21" spans="3:6" ht="15.75" x14ac:dyDescent="0.25">
      <c r="C21" s="3">
        <v>1.4186603784913836</v>
      </c>
      <c r="D21" s="3"/>
      <c r="E21" s="3"/>
      <c r="F21" s="5">
        <v>767981.06555519125</v>
      </c>
    </row>
    <row r="22" spans="3:6" ht="15.75" x14ac:dyDescent="0.25">
      <c r="C22" s="3">
        <v>1.3880928597551323</v>
      </c>
      <c r="D22" s="3"/>
      <c r="E22" s="3"/>
      <c r="F22" s="5">
        <v>764593.39154613588</v>
      </c>
    </row>
  </sheetData>
  <pageMargins left="0.7" right="0.7" top="0.75" bottom="0.75" header="0.3" footer="0.3"/>
  <ignoredErrors>
    <ignoredError sqref="G4:O4 F3 G3:O3 E1" formula="1"/>
  </ignoredError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2025-05-21T23:29:32Z</dcterms:modified>
</cp:coreProperties>
</file>