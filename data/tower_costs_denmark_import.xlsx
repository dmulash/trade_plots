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de_plots\data\"/>
    </mc:Choice>
  </mc:AlternateContent>
  <xr:revisionPtr revIDLastSave="0" documentId="13_ncr:1_{98C81C53-7D5F-4285-897A-1D71DC2AAEE8}" xr6:coauthVersionLast="47" xr6:coauthVersionMax="47" xr10:uidLastSave="{00000000-0000-0000-0000-000000000000}"/>
  <bookViews>
    <workbookView xWindow="-120" yWindow="16080" windowWidth="29040" windowHeight="15720" activeTab="1" xr2:uid="{E194376A-60D2-4E43-93D0-D5BA1364A651}"/>
  </bookViews>
  <sheets>
    <sheet name="Sheet1" sheetId="2" r:id="rId1"/>
    <sheet name="All op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G12" i="3"/>
  <c r="H12" i="3"/>
  <c r="I12" i="3"/>
  <c r="E12" i="3"/>
  <c r="I1" i="3"/>
  <c r="G1" i="3"/>
  <c r="E1" i="3"/>
  <c r="F1" i="3"/>
  <c r="H1" i="3"/>
  <c r="D1" i="3"/>
  <c r="C1" i="3"/>
  <c r="J1" i="3"/>
  <c r="K1" i="3"/>
  <c r="L1" i="3"/>
  <c r="M1" i="3"/>
  <c r="N1" i="3"/>
  <c r="O1" i="3"/>
  <c r="P1" i="3"/>
  <c r="Q1" i="3"/>
  <c r="R1" i="3"/>
  <c r="S1" i="3"/>
  <c r="B4" i="3" l="1"/>
  <c r="B3" i="3"/>
  <c r="C3" i="3" s="1"/>
  <c r="B2" i="3"/>
  <c r="C2" i="3" s="1"/>
  <c r="D2" i="3" s="1"/>
  <c r="B2" i="2"/>
  <c r="C4" i="3" l="1"/>
  <c r="J4" i="3" s="1"/>
  <c r="K4" i="3" s="1"/>
  <c r="L4" i="3" s="1"/>
  <c r="M4" i="3" s="1"/>
  <c r="N4" i="3" s="1"/>
  <c r="O4" i="3" s="1"/>
  <c r="P4" i="3" s="1"/>
  <c r="Q4" i="3" s="1"/>
  <c r="R4" i="3" s="1"/>
  <c r="S4" i="3" s="1"/>
  <c r="E4" i="3"/>
  <c r="F4" i="3"/>
  <c r="D4" i="3"/>
  <c r="D7" i="3" s="1"/>
  <c r="G4" i="3"/>
  <c r="H4" i="3"/>
  <c r="I4" i="3"/>
  <c r="E2" i="3"/>
  <c r="O3" i="3"/>
  <c r="D3" i="3"/>
  <c r="E3" i="3"/>
  <c r="F3" i="3"/>
  <c r="I3" i="3"/>
  <c r="G3" i="3"/>
  <c r="H3" i="3"/>
  <c r="N3" i="3"/>
  <c r="M3" i="3"/>
  <c r="J3" i="3"/>
  <c r="L3" i="3"/>
  <c r="S3" i="3"/>
  <c r="K3" i="3"/>
  <c r="R3" i="3"/>
  <c r="Q3" i="3"/>
  <c r="P3" i="3"/>
  <c r="J2" i="3"/>
  <c r="B4" i="2"/>
  <c r="C4" i="2" s="1"/>
  <c r="D4" i="2" s="1"/>
  <c r="B3" i="2"/>
  <c r="C3" i="2" s="1"/>
  <c r="D3" i="2" s="1"/>
  <c r="C2" i="2"/>
  <c r="C7" i="3" l="1"/>
  <c r="F2" i="3"/>
  <c r="G2" i="3" s="1"/>
  <c r="H2" i="3" s="1"/>
  <c r="I2" i="3" s="1"/>
  <c r="I7" i="3" s="1"/>
  <c r="E7" i="3"/>
  <c r="F7" i="3"/>
  <c r="J7" i="3"/>
  <c r="K2" i="3"/>
  <c r="L2" i="3" s="1"/>
  <c r="M2" i="3" s="1"/>
  <c r="N2" i="3" s="1"/>
  <c r="O2" i="3" s="1"/>
  <c r="C7" i="2"/>
  <c r="D2" i="2"/>
  <c r="G7" i="3" l="1"/>
  <c r="H7" i="3"/>
  <c r="N7" i="3"/>
  <c r="M7" i="3"/>
  <c r="K7" i="3"/>
  <c r="P2" i="3"/>
  <c r="O7" i="3"/>
  <c r="L7" i="3"/>
  <c r="D7" i="2"/>
  <c r="Q2" i="3" l="1"/>
  <c r="P7" i="3"/>
  <c r="R2" i="3" l="1"/>
  <c r="Q7" i="3"/>
  <c r="S2" i="3" l="1"/>
  <c r="S7" i="3" s="1"/>
  <c r="R7" i="3"/>
</calcChain>
</file>

<file path=xl/sharedStrings.xml><?xml version="1.0" encoding="utf-8"?>
<sst xmlns="http://schemas.openxmlformats.org/spreadsheetml/2006/main" count="41" uniqueCount="26">
  <si>
    <t>component costs</t>
  </si>
  <si>
    <t>Other</t>
  </si>
  <si>
    <t>Labor</t>
  </si>
  <si>
    <t>Raw materials</t>
  </si>
  <si>
    <t>Factory amortization</t>
  </si>
  <si>
    <t>Total</t>
  </si>
  <si>
    <t>Landed cost - Import</t>
  </si>
  <si>
    <t>Production cost - Import</t>
  </si>
  <si>
    <t>Transportation</t>
  </si>
  <si>
    <t>Production cost - Great Lakes</t>
  </si>
  <si>
    <t>Import</t>
  </si>
  <si>
    <t>US Average</t>
  </si>
  <si>
    <t>GL Average</t>
  </si>
  <si>
    <t>MN</t>
  </si>
  <si>
    <t>WI</t>
  </si>
  <si>
    <t>IL</t>
  </si>
  <si>
    <t>IN</t>
  </si>
  <si>
    <t>MI</t>
  </si>
  <si>
    <t>OH</t>
  </si>
  <si>
    <t>PA</t>
  </si>
  <si>
    <t>NY</t>
  </si>
  <si>
    <t>US East Coast</t>
  </si>
  <si>
    <t>Great Lakes</t>
  </si>
  <si>
    <t>Sparrows Point Maryland</t>
  </si>
  <si>
    <t>Albany, NY</t>
  </si>
  <si>
    <t>Port of Detroit, 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</si>
</sst>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4" fontId="18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1" applyNumberFormat="1" applyFont="1"/>
    <xf numFmtId="1" fontId="0" fillId="0" borderId="0" xfId="0" applyNumberFormat="1"/>
    <xf numFmtId="0" fontId="18" fillId="0" borderId="0" xfId="43"/>
    <xf numFmtId="2" fontId="18" fillId="0" borderId="0" xfId="43" applyNumberFormat="1"/>
    <xf numFmtId="164" fontId="0" fillId="0" borderId="0" xfId="45" applyNumberFormat="1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" fontId="0" fillId="0" borderId="0" xfId="0" applyNumberFormat="1" applyBorder="1"/>
    <xf numFmtId="1" fontId="0" fillId="0" borderId="14" xfId="0" applyNumberFormat="1" applyBorder="1"/>
    <xf numFmtId="1" fontId="0" fillId="33" borderId="0" xfId="0" applyNumberFormat="1" applyFill="1" applyBorder="1"/>
    <xf numFmtId="1" fontId="0" fillId="0" borderId="0" xfId="1" applyNumberFormat="1" applyFont="1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" fontId="0" fillId="0" borderId="13" xfId="0" applyNumberFormat="1" applyBorder="1"/>
    <xf numFmtId="1" fontId="0" fillId="33" borderId="14" xfId="0" applyNumberFormat="1" applyFill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5" builtinId="3"/>
    <cellStyle name="Currency 2" xfId="44" xr:uid="{3A4B0E27-D947-4D7A-B51E-17B705417C9E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27F5D012-193B-4DC1-8345-CEB7ACE962AB}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60D5-6384-4E20-9FB9-47B01C5A146D}">
  <dimension ref="A1:E8"/>
  <sheetViews>
    <sheetView workbookViewId="0">
      <selection activeCell="A7" sqref="A1:D7"/>
    </sheetView>
  </sheetViews>
  <sheetFormatPr defaultRowHeight="15" x14ac:dyDescent="0.25"/>
  <cols>
    <col min="1" max="1" width="46.28515625" bestFit="1" customWidth="1"/>
    <col min="2" max="2" width="19.28515625" bestFit="1" customWidth="1"/>
    <col min="3" max="3" width="22.7109375" bestFit="1" customWidth="1"/>
    <col min="4" max="4" width="25.140625" bestFit="1" customWidth="1"/>
    <col min="5" max="5" width="21.85546875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9</v>
      </c>
    </row>
    <row r="2" spans="1:5" x14ac:dyDescent="0.25">
      <c r="A2" t="s">
        <v>1</v>
      </c>
      <c r="B2" s="2">
        <f>(B$7-B$6-B$5)*0.08</f>
        <v>197061.41614592224</v>
      </c>
      <c r="C2" s="2">
        <f>B2</f>
        <v>197061.41614592224</v>
      </c>
      <c r="D2" s="2">
        <f>C2</f>
        <v>197061.41614592224</v>
      </c>
      <c r="E2" s="2"/>
    </row>
    <row r="3" spans="1:5" x14ac:dyDescent="0.25">
      <c r="A3" t="s">
        <v>2</v>
      </c>
      <c r="B3" s="2">
        <f>(B$7-B$6-B$5)*0.22</f>
        <v>541918.89440128615</v>
      </c>
      <c r="C3" s="2">
        <f t="shared" ref="C3:C4" si="0">B3</f>
        <v>541918.89440128615</v>
      </c>
      <c r="D3" s="2">
        <f>C3*0.829811755666539</f>
        <v>449690.66919200099</v>
      </c>
      <c r="E3" s="2"/>
    </row>
    <row r="4" spans="1:5" x14ac:dyDescent="0.25">
      <c r="A4" t="s">
        <v>3</v>
      </c>
      <c r="B4" s="2">
        <f>(B$7-B$6-B$5)*0.7</f>
        <v>1724287.3912768196</v>
      </c>
      <c r="C4" s="2">
        <f t="shared" si="0"/>
        <v>1724287.3912768196</v>
      </c>
      <c r="D4" s="2">
        <f>C4*1.82001516775439</f>
        <v>3138229.2056914605</v>
      </c>
      <c r="E4" s="2"/>
    </row>
    <row r="5" spans="1:5" x14ac:dyDescent="0.25">
      <c r="A5" t="s">
        <v>4</v>
      </c>
      <c r="B5" s="2">
        <v>137624.29817597193</v>
      </c>
      <c r="C5" s="2">
        <v>0</v>
      </c>
      <c r="D5" s="2">
        <v>0</v>
      </c>
      <c r="E5" s="2"/>
    </row>
    <row r="6" spans="1:5" x14ac:dyDescent="0.25">
      <c r="A6" t="s">
        <v>8</v>
      </c>
      <c r="B6" s="2">
        <v>868551</v>
      </c>
      <c r="C6" s="2">
        <v>0</v>
      </c>
      <c r="D6" s="2">
        <v>0</v>
      </c>
      <c r="E6" s="2"/>
    </row>
    <row r="7" spans="1:5" x14ac:dyDescent="0.25">
      <c r="A7" t="s">
        <v>5</v>
      </c>
      <c r="B7" s="1">
        <v>3469443</v>
      </c>
      <c r="C7" s="2">
        <f>SUM(C2:C6)</f>
        <v>2463267.701824028</v>
      </c>
      <c r="D7" s="2">
        <f>SUM(D2:D6)</f>
        <v>3784981.2910293839</v>
      </c>
      <c r="E7" s="2"/>
    </row>
    <row r="8" spans="1:5" x14ac:dyDescent="0.25">
      <c r="B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83134-7052-45D1-9B21-C19FF05C8ECD}">
  <dimension ref="A1:T23"/>
  <sheetViews>
    <sheetView tabSelected="1" topLeftCell="C1" zoomScale="130" zoomScaleNormal="130" workbookViewId="0">
      <selection activeCell="J2" sqref="J2"/>
    </sheetView>
  </sheetViews>
  <sheetFormatPr defaultRowHeight="15" x14ac:dyDescent="0.25"/>
  <cols>
    <col min="1" max="1" width="19.42578125" bestFit="1" customWidth="1"/>
    <col min="2" max="2" width="19.28515625" bestFit="1" customWidth="1"/>
    <col min="3" max="3" width="22.7109375" bestFit="1" customWidth="1"/>
    <col min="4" max="4" width="28.85546875" bestFit="1" customWidth="1"/>
    <col min="5" max="5" width="25.5703125" bestFit="1" customWidth="1"/>
    <col min="6" max="6" width="28.85546875" bestFit="1" customWidth="1"/>
    <col min="7" max="7" width="25.5703125" bestFit="1" customWidth="1"/>
    <col min="8" max="8" width="27.140625" bestFit="1" customWidth="1"/>
    <col min="9" max="9" width="23.7109375" bestFit="1" customWidth="1"/>
    <col min="10" max="10" width="26.5703125" bestFit="1" customWidth="1"/>
    <col min="11" max="11" width="26.42578125" bestFit="1" customWidth="1"/>
    <col min="12" max="12" width="19.7109375" bestFit="1" customWidth="1"/>
    <col min="13" max="13" width="19" bestFit="1" customWidth="1"/>
    <col min="14" max="14" width="18.140625" bestFit="1" customWidth="1"/>
    <col min="15" max="15" width="18.7109375" bestFit="1" customWidth="1"/>
    <col min="16" max="16" width="18.85546875" bestFit="1" customWidth="1"/>
    <col min="17" max="17" width="19.42578125" bestFit="1" customWidth="1"/>
    <col min="18" max="18" width="19" bestFit="1" customWidth="1"/>
    <col min="19" max="19" width="19.140625" bestFit="1" customWidth="1"/>
  </cols>
  <sheetData>
    <row r="1" spans="1:20" x14ac:dyDescent="0.25">
      <c r="A1" s="6" t="s">
        <v>0</v>
      </c>
      <c r="B1" s="7" t="s">
        <v>6</v>
      </c>
      <c r="C1" s="7" t="str">
        <f>_xlfn.CONCAT("Production cost - ",C9)</f>
        <v>Production cost - Import</v>
      </c>
      <c r="D1" s="6" t="str">
        <f>_xlfn.CONCAT("Production cost - ",D9)</f>
        <v>Production cost - US East Coast</v>
      </c>
      <c r="E1" s="8" t="str">
        <f>_xlfn.CONCAT("Landed cost - ",E9)</f>
        <v>Landed cost - US East Coast</v>
      </c>
      <c r="F1" s="6" t="str">
        <f t="shared" ref="F1:H1" si="0">_xlfn.CONCAT("Production cost - ",F9)</f>
        <v>Production cost - US East Coast</v>
      </c>
      <c r="G1" s="8" t="str">
        <f>_xlfn.CONCAT("Landed cost - ",G9)</f>
        <v>Landed cost - US East Coast</v>
      </c>
      <c r="H1" s="6" t="str">
        <f t="shared" si="0"/>
        <v>Production cost - Great Lakes</v>
      </c>
      <c r="I1" s="8" t="str">
        <f>_xlfn.CONCAT("Landed cost - ",I9)</f>
        <v>Landed cost - Great Lakes</v>
      </c>
      <c r="J1" t="str">
        <f t="shared" ref="J1:S1" si="1">_xlfn.CONCAT("Production cost - ",J9)</f>
        <v>Production cost - US Average</v>
      </c>
      <c r="K1" t="str">
        <f t="shared" si="1"/>
        <v>Production cost - GL Average</v>
      </c>
      <c r="L1" t="str">
        <f t="shared" si="1"/>
        <v>Production cost - MN</v>
      </c>
      <c r="M1" t="str">
        <f t="shared" si="1"/>
        <v>Production cost - WI</v>
      </c>
      <c r="N1" t="str">
        <f t="shared" si="1"/>
        <v>Production cost - IL</v>
      </c>
      <c r="O1" t="str">
        <f t="shared" si="1"/>
        <v>Production cost - IN</v>
      </c>
      <c r="P1" t="str">
        <f t="shared" si="1"/>
        <v>Production cost - MI</v>
      </c>
      <c r="Q1" t="str">
        <f t="shared" si="1"/>
        <v>Production cost - OH</v>
      </c>
      <c r="R1" t="str">
        <f t="shared" si="1"/>
        <v>Production cost - PA</v>
      </c>
      <c r="S1" t="str">
        <f t="shared" si="1"/>
        <v>Production cost - NY</v>
      </c>
    </row>
    <row r="2" spans="1:20" x14ac:dyDescent="0.25">
      <c r="A2" s="9" t="s">
        <v>1</v>
      </c>
      <c r="B2" s="10">
        <f>(B$7-B$6-B$5)*0.08</f>
        <v>251379.99383005762</v>
      </c>
      <c r="C2" s="10">
        <f>B2</f>
        <v>251379.99383005762</v>
      </c>
      <c r="D2" s="19">
        <f t="shared" ref="D2:I2" si="2">C2</f>
        <v>251379.99383005762</v>
      </c>
      <c r="E2" s="11">
        <f t="shared" si="2"/>
        <v>251379.99383005762</v>
      </c>
      <c r="F2" s="19">
        <f t="shared" si="2"/>
        <v>251379.99383005762</v>
      </c>
      <c r="G2" s="11">
        <f t="shared" si="2"/>
        <v>251379.99383005762</v>
      </c>
      <c r="H2" s="19">
        <f t="shared" si="2"/>
        <v>251379.99383005762</v>
      </c>
      <c r="I2" s="11">
        <f t="shared" si="2"/>
        <v>251379.99383005762</v>
      </c>
      <c r="J2" s="2">
        <f>C2</f>
        <v>251379.99383005762</v>
      </c>
      <c r="K2" s="2">
        <f>J2</f>
        <v>251379.99383005762</v>
      </c>
      <c r="L2" s="2">
        <f t="shared" ref="L2:S2" si="3">K2</f>
        <v>251379.99383005762</v>
      </c>
      <c r="M2" s="2">
        <f t="shared" si="3"/>
        <v>251379.99383005762</v>
      </c>
      <c r="N2" s="2">
        <f t="shared" si="3"/>
        <v>251379.99383005762</v>
      </c>
      <c r="O2" s="2">
        <f t="shared" si="3"/>
        <v>251379.99383005762</v>
      </c>
      <c r="P2" s="2">
        <f t="shared" si="3"/>
        <v>251379.99383005762</v>
      </c>
      <c r="Q2" s="2">
        <f t="shared" si="3"/>
        <v>251379.99383005762</v>
      </c>
      <c r="R2" s="2">
        <f t="shared" si="3"/>
        <v>251379.99383005762</v>
      </c>
      <c r="S2" s="2">
        <f t="shared" si="3"/>
        <v>251379.99383005762</v>
      </c>
    </row>
    <row r="3" spans="1:20" x14ac:dyDescent="0.25">
      <c r="A3" s="9" t="s">
        <v>2</v>
      </c>
      <c r="B3" s="10">
        <f>(B$7-B$6-B$5)*0.22</f>
        <v>691294.98303265846</v>
      </c>
      <c r="C3" s="10">
        <f t="shared" ref="C3:C4" si="4">B3</f>
        <v>691294.98303265846</v>
      </c>
      <c r="D3" s="19">
        <f t="shared" ref="D3:I3" si="5">$C$3*D8</f>
        <v>575527.26938824786</v>
      </c>
      <c r="E3" s="11">
        <f t="shared" si="5"/>
        <v>575527.26938824786</v>
      </c>
      <c r="F3" s="19">
        <f t="shared" si="5"/>
        <v>569924.39488096349</v>
      </c>
      <c r="G3" s="11">
        <f t="shared" si="5"/>
        <v>569924.39488096349</v>
      </c>
      <c r="H3" s="19">
        <f t="shared" si="5"/>
        <v>588750.05322543893</v>
      </c>
      <c r="I3" s="11">
        <f t="shared" si="5"/>
        <v>588750.05322543893</v>
      </c>
      <c r="J3" s="2">
        <f>$C$3*J8</f>
        <v>572449.61042139656</v>
      </c>
      <c r="K3" s="2">
        <f t="shared" ref="K3:S3" si="6">$C$3*K8</f>
        <v>573644.70355380035</v>
      </c>
      <c r="L3" s="2">
        <f t="shared" si="6"/>
        <v>616316.19580127788</v>
      </c>
      <c r="M3" s="2">
        <f t="shared" si="6"/>
        <v>559166.87582697743</v>
      </c>
      <c r="N3" s="2">
        <f t="shared" si="6"/>
        <v>548857.58673357428</v>
      </c>
      <c r="O3" s="2">
        <f t="shared" si="6"/>
        <v>550650.50657590537</v>
      </c>
      <c r="P3" s="2">
        <f t="shared" si="6"/>
        <v>588750.05322543893</v>
      </c>
      <c r="Q3" s="2">
        <f t="shared" si="6"/>
        <v>573062.00460504275</v>
      </c>
      <c r="R3" s="2">
        <f t="shared" si="6"/>
        <v>582474.83377728041</v>
      </c>
      <c r="S3" s="2">
        <f t="shared" si="6"/>
        <v>569924.39488096349</v>
      </c>
      <c r="T3" s="2"/>
    </row>
    <row r="4" spans="1:20" x14ac:dyDescent="0.25">
      <c r="A4" s="9" t="s">
        <v>3</v>
      </c>
      <c r="B4" s="10">
        <f>(B$7-B$6-B$5)*0.7</f>
        <v>2199574.9460130041</v>
      </c>
      <c r="C4" s="10">
        <f t="shared" si="4"/>
        <v>2199574.9460130041</v>
      </c>
      <c r="D4" s="19">
        <f t="shared" ref="D4:H4" si="7">$B$4*1.20622259411537</f>
        <v>2653176.9973309804</v>
      </c>
      <c r="E4" s="11">
        <f t="shared" si="7"/>
        <v>2653176.9973309804</v>
      </c>
      <c r="F4" s="19">
        <f t="shared" si="7"/>
        <v>2653176.9973309804</v>
      </c>
      <c r="G4" s="11">
        <f t="shared" si="7"/>
        <v>2653176.9973309804</v>
      </c>
      <c r="H4" s="19">
        <f t="shared" si="7"/>
        <v>2653176.9973309804</v>
      </c>
      <c r="I4" s="11">
        <f>$B$4*1.20622259411537</f>
        <v>2653176.9973309804</v>
      </c>
      <c r="J4" s="2">
        <f>C4*1.82001516775439</f>
        <v>4003259.7643562113</v>
      </c>
      <c r="K4" s="2">
        <f>J4</f>
        <v>4003259.7643562113</v>
      </c>
      <c r="L4" s="2">
        <f t="shared" ref="L4:S4" si="8">K4</f>
        <v>4003259.7643562113</v>
      </c>
      <c r="M4" s="2">
        <f t="shared" si="8"/>
        <v>4003259.7643562113</v>
      </c>
      <c r="N4" s="2">
        <f t="shared" si="8"/>
        <v>4003259.7643562113</v>
      </c>
      <c r="O4" s="2">
        <f t="shared" si="8"/>
        <v>4003259.7643562113</v>
      </c>
      <c r="P4" s="2">
        <f t="shared" si="8"/>
        <v>4003259.7643562113</v>
      </c>
      <c r="Q4" s="2">
        <f t="shared" si="8"/>
        <v>4003259.7643562113</v>
      </c>
      <c r="R4" s="2">
        <f t="shared" si="8"/>
        <v>4003259.7643562113</v>
      </c>
      <c r="S4" s="2">
        <f t="shared" si="8"/>
        <v>4003259.7643562113</v>
      </c>
    </row>
    <row r="5" spans="1:20" x14ac:dyDescent="0.25">
      <c r="A5" s="9" t="s">
        <v>4</v>
      </c>
      <c r="B5" s="12">
        <v>163040.74870764953</v>
      </c>
      <c r="C5" s="10">
        <v>0</v>
      </c>
      <c r="D5" s="19">
        <v>0</v>
      </c>
      <c r="E5" s="20">
        <v>250702.467966453</v>
      </c>
      <c r="F5" s="19">
        <v>0</v>
      </c>
      <c r="G5" s="20">
        <v>250579.70385695316</v>
      </c>
      <c r="H5" s="19">
        <v>0</v>
      </c>
      <c r="I5" s="20">
        <v>250991.57659099816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20" x14ac:dyDescent="0.25">
      <c r="A6" s="9" t="s">
        <v>8</v>
      </c>
      <c r="B6" s="10">
        <v>164152.3284166308</v>
      </c>
      <c r="C6" s="10">
        <v>0</v>
      </c>
      <c r="D6" s="19">
        <v>0</v>
      </c>
      <c r="E6" s="11">
        <v>29841.485111111117</v>
      </c>
      <c r="F6" s="19">
        <v>0</v>
      </c>
      <c r="G6" s="11">
        <v>23394.598233333334</v>
      </c>
      <c r="H6" s="19">
        <v>0</v>
      </c>
      <c r="I6" s="11">
        <v>69479.986088888894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20" x14ac:dyDescent="0.25">
      <c r="A7" s="9" t="s">
        <v>5</v>
      </c>
      <c r="B7" s="13">
        <v>3469443</v>
      </c>
      <c r="C7" s="10">
        <f>SUM(C2:C6)</f>
        <v>3142249.9228757201</v>
      </c>
      <c r="D7" s="19">
        <f t="shared" ref="D7:I7" si="9">SUM(D2:D6)</f>
        <v>3480084.2605492859</v>
      </c>
      <c r="E7" s="11">
        <f t="shared" si="9"/>
        <v>3760628.2136268504</v>
      </c>
      <c r="F7" s="19">
        <f t="shared" si="9"/>
        <v>3474481.3860420017</v>
      </c>
      <c r="G7" s="11">
        <f t="shared" si="9"/>
        <v>3748455.6881322879</v>
      </c>
      <c r="H7" s="19">
        <f t="shared" si="9"/>
        <v>3493307.0443864772</v>
      </c>
      <c r="I7" s="11">
        <f t="shared" si="9"/>
        <v>3813778.607066364</v>
      </c>
      <c r="J7" s="2">
        <f>SUM(J2:J6)</f>
        <v>4827089.3686076654</v>
      </c>
      <c r="K7" s="2">
        <f t="shared" ref="K7:S7" si="10">SUM(K2:K6)</f>
        <v>4828284.4617400691</v>
      </c>
      <c r="L7" s="2">
        <f t="shared" si="10"/>
        <v>4870955.9539875463</v>
      </c>
      <c r="M7" s="2">
        <f t="shared" si="10"/>
        <v>4813806.6340132467</v>
      </c>
      <c r="N7" s="2">
        <f t="shared" si="10"/>
        <v>4803497.3449198436</v>
      </c>
      <c r="O7" s="2">
        <f t="shared" si="10"/>
        <v>4805290.2647621743</v>
      </c>
      <c r="P7" s="2">
        <f t="shared" si="10"/>
        <v>4843389.8114117077</v>
      </c>
      <c r="Q7" s="2">
        <f t="shared" si="10"/>
        <v>4827701.7627913114</v>
      </c>
      <c r="R7" s="2">
        <f t="shared" si="10"/>
        <v>4837114.5919635491</v>
      </c>
      <c r="S7" s="2">
        <f t="shared" si="10"/>
        <v>4824564.1530672321</v>
      </c>
    </row>
    <row r="8" spans="1:20" x14ac:dyDescent="0.25">
      <c r="A8" s="9"/>
      <c r="B8" s="14"/>
      <c r="C8" s="14">
        <v>1</v>
      </c>
      <c r="D8" s="9">
        <v>0.83253500099690225</v>
      </c>
      <c r="E8" s="15">
        <v>0.83253500099690225</v>
      </c>
      <c r="F8" s="9">
        <v>0.82443010418034357</v>
      </c>
      <c r="G8" s="15">
        <v>0.82443010418034357</v>
      </c>
      <c r="H8" s="9">
        <v>0.85166255748398068</v>
      </c>
      <c r="I8" s="15">
        <v>0.85166255748398068</v>
      </c>
      <c r="J8">
        <v>0.82808298117556656</v>
      </c>
      <c r="K8">
        <v>0.82981175566653864</v>
      </c>
      <c r="L8">
        <v>0.89153864982144904</v>
      </c>
      <c r="M8">
        <v>0.80886870229255092</v>
      </c>
      <c r="N8">
        <v>0.7939556921500831</v>
      </c>
      <c r="O8">
        <v>0.79654925913138197</v>
      </c>
      <c r="P8">
        <v>0.85166255748398068</v>
      </c>
      <c r="Q8">
        <v>0.82896884639761648</v>
      </c>
      <c r="R8">
        <v>0.84258507304943486</v>
      </c>
      <c r="S8">
        <v>0.82443010418034357</v>
      </c>
    </row>
    <row r="9" spans="1:20" x14ac:dyDescent="0.25">
      <c r="A9" s="9"/>
      <c r="B9" s="14"/>
      <c r="C9" s="14" t="s">
        <v>10</v>
      </c>
      <c r="D9" s="9" t="s">
        <v>21</v>
      </c>
      <c r="E9" s="15" t="s">
        <v>21</v>
      </c>
      <c r="F9" s="9" t="s">
        <v>21</v>
      </c>
      <c r="G9" s="15" t="s">
        <v>21</v>
      </c>
      <c r="H9" s="9" t="s">
        <v>22</v>
      </c>
      <c r="I9" s="15" t="s">
        <v>22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18</v>
      </c>
      <c r="R9" t="s">
        <v>19</v>
      </c>
      <c r="S9" t="s">
        <v>20</v>
      </c>
    </row>
    <row r="10" spans="1:20" ht="15.75" thickBot="1" x14ac:dyDescent="0.3">
      <c r="A10" s="16"/>
      <c r="B10" s="17"/>
      <c r="C10" s="17"/>
      <c r="D10" s="16" t="s">
        <v>23</v>
      </c>
      <c r="E10" s="18" t="s">
        <v>23</v>
      </c>
      <c r="F10" s="16" t="s">
        <v>24</v>
      </c>
      <c r="G10" s="18" t="s">
        <v>24</v>
      </c>
      <c r="H10" s="16" t="s">
        <v>25</v>
      </c>
      <c r="I10" s="18" t="s">
        <v>25</v>
      </c>
    </row>
    <row r="12" spans="1:20" x14ac:dyDescent="0.25">
      <c r="E12" s="2">
        <f>SUM(E2:E4)</f>
        <v>3480084.2605492859</v>
      </c>
      <c r="F12" s="2">
        <f t="shared" ref="F12:I12" si="11">SUM(F2:F4)</f>
        <v>3474481.3860420017</v>
      </c>
      <c r="G12" s="2">
        <f t="shared" si="11"/>
        <v>3474481.3860420017</v>
      </c>
      <c r="H12" s="2">
        <f t="shared" si="11"/>
        <v>3493307.0443864772</v>
      </c>
      <c r="I12" s="2">
        <f t="shared" si="11"/>
        <v>3493307.0443864772</v>
      </c>
    </row>
    <row r="13" spans="1:20" ht="15.75" x14ac:dyDescent="0.25">
      <c r="B13">
        <v>1.206222594115365</v>
      </c>
      <c r="C13" s="3">
        <v>1</v>
      </c>
      <c r="D13" s="3"/>
      <c r="E13" s="3"/>
      <c r="F13" s="3"/>
      <c r="G13" s="3"/>
      <c r="H13" s="3"/>
      <c r="I13" s="3"/>
      <c r="J13" s="5">
        <v>2463267.701824028</v>
      </c>
    </row>
    <row r="14" spans="1:20" ht="15.75" x14ac:dyDescent="0.25">
      <c r="C14" s="4">
        <v>0.82808298117556656</v>
      </c>
      <c r="D14" s="4"/>
      <c r="E14" s="4"/>
      <c r="F14" s="4"/>
      <c r="G14" s="4"/>
      <c r="H14" s="4"/>
      <c r="I14" s="4"/>
      <c r="J14" s="5">
        <v>3784044.4354685666</v>
      </c>
    </row>
    <row r="15" spans="1:20" ht="15.75" x14ac:dyDescent="0.25">
      <c r="C15" s="4">
        <v>0.82981175566653864</v>
      </c>
      <c r="D15" s="4"/>
      <c r="E15" s="4"/>
      <c r="F15" s="4"/>
      <c r="G15" s="4"/>
      <c r="H15" s="4"/>
      <c r="I15" s="4"/>
      <c r="J15" s="5">
        <v>3784981.2910293834</v>
      </c>
    </row>
    <row r="16" spans="1:20" ht="15.75" x14ac:dyDescent="0.25">
      <c r="C16" s="4">
        <v>0.89153864982144904</v>
      </c>
      <c r="D16" s="4"/>
      <c r="E16" s="4"/>
      <c r="F16" s="4"/>
      <c r="G16" s="4"/>
      <c r="H16" s="4"/>
      <c r="I16" s="4"/>
      <c r="J16" s="5">
        <v>3818432.261264638</v>
      </c>
    </row>
    <row r="17" spans="3:10" ht="15.75" x14ac:dyDescent="0.25">
      <c r="C17" s="4">
        <v>0.80886870229255092</v>
      </c>
      <c r="D17" s="4"/>
      <c r="E17" s="4"/>
      <c r="F17" s="4"/>
      <c r="G17" s="4"/>
      <c r="H17" s="4"/>
      <c r="I17" s="4"/>
      <c r="J17" s="5">
        <v>3773631.8546995651</v>
      </c>
    </row>
    <row r="18" spans="3:10" ht="15.75" x14ac:dyDescent="0.25">
      <c r="C18" s="4">
        <v>0.7939556921500831</v>
      </c>
      <c r="D18" s="4"/>
      <c r="E18" s="4"/>
      <c r="F18" s="4"/>
      <c r="G18" s="4"/>
      <c r="H18" s="4"/>
      <c r="I18" s="4"/>
      <c r="J18" s="5">
        <v>3765550.2127309637</v>
      </c>
    </row>
    <row r="19" spans="3:10" ht="15.75" x14ac:dyDescent="0.25">
      <c r="C19" s="4">
        <v>0.79654925913138197</v>
      </c>
      <c r="D19" s="4"/>
      <c r="E19" s="4"/>
      <c r="F19" s="4"/>
      <c r="G19" s="4"/>
      <c r="H19" s="4"/>
      <c r="I19" s="4"/>
      <c r="J19" s="5">
        <v>3766955.7156820251</v>
      </c>
    </row>
    <row r="20" spans="3:10" ht="15.75" x14ac:dyDescent="0.25">
      <c r="C20" s="4">
        <v>0.85166255748398068</v>
      </c>
      <c r="D20" s="4"/>
      <c r="E20" s="4"/>
      <c r="F20" s="4"/>
      <c r="G20" s="4"/>
      <c r="H20" s="4"/>
      <c r="I20" s="4"/>
      <c r="J20" s="5">
        <v>3796822.6533920732</v>
      </c>
    </row>
    <row r="21" spans="3:10" ht="15.75" x14ac:dyDescent="0.25">
      <c r="C21" s="4">
        <v>0.82896884639761648</v>
      </c>
      <c r="D21" s="4"/>
      <c r="E21" s="4"/>
      <c r="F21" s="4"/>
      <c r="G21" s="4"/>
      <c r="H21" s="4"/>
      <c r="I21" s="4"/>
      <c r="J21" s="5">
        <v>3784524.5025702887</v>
      </c>
    </row>
    <row r="22" spans="3:10" ht="15.75" x14ac:dyDescent="0.25">
      <c r="C22" s="4">
        <v>0.84258507304943486</v>
      </c>
      <c r="D22" s="4"/>
      <c r="E22" s="4"/>
      <c r="F22" s="4"/>
      <c r="G22" s="4"/>
      <c r="H22" s="4"/>
      <c r="I22" s="4"/>
      <c r="J22" s="5">
        <v>3791903.3930633594</v>
      </c>
    </row>
    <row r="23" spans="3:10" ht="15.75" x14ac:dyDescent="0.25">
      <c r="C23" s="4">
        <v>0.82443010418034357</v>
      </c>
      <c r="D23" s="4"/>
      <c r="E23" s="4"/>
      <c r="F23" s="4"/>
      <c r="G23" s="4"/>
      <c r="H23" s="4"/>
      <c r="I23" s="4"/>
      <c r="J23" s="5">
        <v>3782064.8724059318</v>
      </c>
    </row>
  </sheetData>
  <pageMargins left="0.7" right="0.7" top="0.75" bottom="0.75" header="0.3" footer="0.3"/>
  <ignoredErrors>
    <ignoredError sqref="J3:S4 G1:I1 E1:F1 J2" formula="1"/>
  </ignoredErrors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 option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2025-03-18T21:13:18Z</dcterms:created>
  <dcterms:modified xsi:type="dcterms:W3CDTF">2025-05-21T22:42:56Z</dcterms:modified>
</cp:coreProperties>
</file>