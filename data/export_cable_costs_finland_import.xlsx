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de_plots\data\"/>
    </mc:Choice>
  </mc:AlternateContent>
  <xr:revisionPtr revIDLastSave="0" documentId="13_ncr:1_{64E2E424-787D-47A3-8213-8B37A8701F85}" xr6:coauthVersionLast="47" xr6:coauthVersionMax="47" xr10:uidLastSave="{00000000-0000-0000-0000-000000000000}"/>
  <bookViews>
    <workbookView xWindow="-120" yWindow="16080" windowWidth="29040" windowHeight="15720" activeTab="1" xr2:uid="{E194376A-60D2-4E43-93D0-D5BA1364A651}"/>
  </bookViews>
  <sheets>
    <sheet name="Sheet1" sheetId="2" r:id="rId1"/>
    <sheet name="All opti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3" l="1"/>
  <c r="E11" i="3"/>
  <c r="B2" i="3"/>
  <c r="C2" i="3" s="1"/>
  <c r="D2" i="3" s="1"/>
  <c r="G1" i="3"/>
  <c r="F1" i="3"/>
  <c r="E1" i="3"/>
  <c r="D1" i="3"/>
  <c r="H1" i="3"/>
  <c r="I1" i="3"/>
  <c r="J1" i="3"/>
  <c r="K1" i="3"/>
  <c r="L1" i="3"/>
  <c r="M1" i="3"/>
  <c r="N1" i="3"/>
  <c r="O1" i="3"/>
  <c r="P1" i="3"/>
  <c r="Q1" i="3"/>
  <c r="C1" i="3"/>
  <c r="B2" i="2"/>
  <c r="E2" i="3" l="1"/>
  <c r="B3" i="3"/>
  <c r="C3" i="3" s="1"/>
  <c r="L3" i="3" s="1"/>
  <c r="B4" i="3"/>
  <c r="C4" i="3" s="1"/>
  <c r="H2" i="3"/>
  <c r="B4" i="2"/>
  <c r="C4" i="2" s="1"/>
  <c r="D4" i="2" s="1"/>
  <c r="B3" i="2"/>
  <c r="C3" i="2" s="1"/>
  <c r="D3" i="2" s="1"/>
  <c r="C2" i="2"/>
  <c r="M3" i="3" l="1"/>
  <c r="O3" i="3"/>
  <c r="P3" i="3"/>
  <c r="Q3" i="3"/>
  <c r="C7" i="3"/>
  <c r="H3" i="3"/>
  <c r="H7" i="3" s="1"/>
  <c r="K3" i="3"/>
  <c r="D4" i="3"/>
  <c r="F4" i="3"/>
  <c r="G4" i="3"/>
  <c r="H4" i="3"/>
  <c r="I4" i="3" s="1"/>
  <c r="J4" i="3" s="1"/>
  <c r="K4" i="3" s="1"/>
  <c r="L4" i="3" s="1"/>
  <c r="M4" i="3" s="1"/>
  <c r="N4" i="3" s="1"/>
  <c r="O4" i="3" s="1"/>
  <c r="P4" i="3" s="1"/>
  <c r="Q4" i="3" s="1"/>
  <c r="E4" i="3"/>
  <c r="J3" i="3"/>
  <c r="G3" i="3"/>
  <c r="E3" i="3"/>
  <c r="E7" i="3" s="1"/>
  <c r="F3" i="3"/>
  <c r="D3" i="3"/>
  <c r="N3" i="3"/>
  <c r="I3" i="3"/>
  <c r="F2" i="3"/>
  <c r="I2" i="3"/>
  <c r="J2" i="3" s="1"/>
  <c r="C7" i="2"/>
  <c r="D2" i="2"/>
  <c r="D7" i="2" s="1"/>
  <c r="D7" i="3" l="1"/>
  <c r="G2" i="3"/>
  <c r="G7" i="3" s="1"/>
  <c r="F7" i="3"/>
  <c r="I7" i="3"/>
  <c r="K2" i="3"/>
  <c r="J7" i="3"/>
  <c r="L2" i="3" l="1"/>
  <c r="K7" i="3"/>
  <c r="M2" i="3" l="1"/>
  <c r="L7" i="3"/>
  <c r="N2" i="3" l="1"/>
  <c r="M7" i="3"/>
  <c r="O2" i="3" l="1"/>
  <c r="N7" i="3"/>
  <c r="P2" i="3" l="1"/>
  <c r="O7" i="3"/>
  <c r="Q2" i="3" l="1"/>
  <c r="Q7" i="3" s="1"/>
  <c r="P7" i="3"/>
</calcChain>
</file>

<file path=xl/sharedStrings.xml><?xml version="1.0" encoding="utf-8"?>
<sst xmlns="http://schemas.openxmlformats.org/spreadsheetml/2006/main" count="37" uniqueCount="24">
  <si>
    <t>component costs</t>
  </si>
  <si>
    <t>Other</t>
  </si>
  <si>
    <t>Labor</t>
  </si>
  <si>
    <t>Raw materials</t>
  </si>
  <si>
    <t>Factory amortization</t>
  </si>
  <si>
    <t>Total</t>
  </si>
  <si>
    <t>Landed cost - Import</t>
  </si>
  <si>
    <t>Production cost - Import</t>
  </si>
  <si>
    <t>Transportation</t>
  </si>
  <si>
    <t>Production cost - Great Lakes</t>
  </si>
  <si>
    <t>Import</t>
  </si>
  <si>
    <t>US Average</t>
  </si>
  <si>
    <t>GL Average</t>
  </si>
  <si>
    <t>MN</t>
  </si>
  <si>
    <t>WI</t>
  </si>
  <si>
    <t>IL</t>
  </si>
  <si>
    <t>IN</t>
  </si>
  <si>
    <t>MI</t>
  </si>
  <si>
    <t>OH</t>
  </si>
  <si>
    <t>PA</t>
  </si>
  <si>
    <t>NY</t>
  </si>
  <si>
    <t>US East Coast</t>
  </si>
  <si>
    <t>Massachussets Brayton Point</t>
  </si>
  <si>
    <t>Charleston, 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</si>
</sst>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44" fontId="1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1" fontId="0" fillId="0" borderId="0" xfId="1" applyNumberFormat="1" applyFont="1"/>
    <xf numFmtId="1" fontId="0" fillId="0" borderId="0" xfId="0" applyNumberFormat="1"/>
    <xf numFmtId="2" fontId="18" fillId="0" borderId="0" xfId="43" applyNumberFormat="1"/>
    <xf numFmtId="0" fontId="18" fillId="0" borderId="0" xfId="43"/>
    <xf numFmtId="164" fontId="0" fillId="0" borderId="0" xfId="45" applyNumberFormat="1" applyFont="1"/>
    <xf numFmtId="1" fontId="0" fillId="33" borderId="0" xfId="0" applyNumberFormat="1" applyFill="1"/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5" builtinId="3"/>
    <cellStyle name="Currency 2" xfId="44" xr:uid="{3A4B0E27-D947-4D7A-B51E-17B705417C9E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27F5D012-193B-4DC1-8345-CEB7ACE962AB}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60D5-6384-4E20-9FB9-47B01C5A146D}">
  <dimension ref="A1:E14"/>
  <sheetViews>
    <sheetView workbookViewId="0">
      <selection sqref="A1:D7"/>
    </sheetView>
  </sheetViews>
  <sheetFormatPr defaultRowHeight="15" x14ac:dyDescent="0.25"/>
  <cols>
    <col min="1" max="1" width="19.42578125" bestFit="1" customWidth="1"/>
    <col min="2" max="2" width="19.28515625" bestFit="1" customWidth="1"/>
    <col min="3" max="3" width="22.7109375" bestFit="1" customWidth="1"/>
    <col min="4" max="4" width="25.140625" bestFit="1" customWidth="1"/>
    <col min="5" max="5" width="21.85546875" bestFit="1" customWidth="1"/>
  </cols>
  <sheetData>
    <row r="1" spans="1:5" x14ac:dyDescent="0.25">
      <c r="A1" t="s">
        <v>0</v>
      </c>
      <c r="B1" t="s">
        <v>6</v>
      </c>
      <c r="C1" t="s">
        <v>7</v>
      </c>
      <c r="D1" t="s">
        <v>9</v>
      </c>
    </row>
    <row r="2" spans="1:5" x14ac:dyDescent="0.25">
      <c r="A2" t="s">
        <v>1</v>
      </c>
      <c r="B2" s="2">
        <f>(B$7-B$6-B$5)*0.08</f>
        <v>103266.92000703838</v>
      </c>
      <c r="C2" s="2">
        <f>B2</f>
        <v>103266.92000703838</v>
      </c>
      <c r="D2" s="2">
        <f>C2</f>
        <v>103266.92000703838</v>
      </c>
      <c r="E2" s="2"/>
    </row>
    <row r="3" spans="1:5" x14ac:dyDescent="0.25">
      <c r="A3" t="s">
        <v>2</v>
      </c>
      <c r="B3" s="2">
        <f>(B$7-B$6-B$5)*0.18</f>
        <v>232350.57001583633</v>
      </c>
      <c r="C3" s="2">
        <f t="shared" ref="C3:C4" si="0">B3</f>
        <v>232350.57001583633</v>
      </c>
      <c r="D3" s="2">
        <f>C3*1.07676969092722</f>
        <v>250188.05146271546</v>
      </c>
      <c r="E3" s="2"/>
    </row>
    <row r="4" spans="1:5" x14ac:dyDescent="0.25">
      <c r="A4" t="s">
        <v>3</v>
      </c>
      <c r="B4" s="2">
        <f>(B$7-B$6-B$5)*0.74</f>
        <v>955219.01006510493</v>
      </c>
      <c r="C4" s="2">
        <f t="shared" si="0"/>
        <v>955219.01006510493</v>
      </c>
      <c r="D4" s="2">
        <f>C4*1.24873862868761</f>
        <v>1192818.8767250355</v>
      </c>
      <c r="E4" s="2"/>
    </row>
    <row r="5" spans="1:5" x14ac:dyDescent="0.25">
      <c r="A5" t="s">
        <v>4</v>
      </c>
      <c r="B5" s="2">
        <v>62697.499912020183</v>
      </c>
      <c r="C5" s="2">
        <v>0</v>
      </c>
      <c r="D5" s="2">
        <v>0</v>
      </c>
      <c r="E5" s="2"/>
    </row>
    <row r="6" spans="1:5" x14ac:dyDescent="0.25">
      <c r="A6" t="s">
        <v>8</v>
      </c>
      <c r="B6" s="2">
        <v>46466</v>
      </c>
      <c r="C6" s="2">
        <v>0</v>
      </c>
      <c r="D6" s="2">
        <v>0</v>
      </c>
      <c r="E6" s="2"/>
    </row>
    <row r="7" spans="1:5" x14ac:dyDescent="0.25">
      <c r="A7" t="s">
        <v>5</v>
      </c>
      <c r="B7" s="1">
        <v>1400000</v>
      </c>
      <c r="C7" s="2">
        <f>SUM(C2:C6)</f>
        <v>1290836.5000879797</v>
      </c>
      <c r="D7" s="2">
        <f>SUM(D2:D6)</f>
        <v>1546273.8481947894</v>
      </c>
      <c r="E7" s="2"/>
    </row>
    <row r="8" spans="1:5" x14ac:dyDescent="0.25">
      <c r="B8" s="2"/>
    </row>
    <row r="9" spans="1:5" ht="15.75" x14ac:dyDescent="0.25">
      <c r="D9" s="3"/>
    </row>
    <row r="10" spans="1:5" ht="15.75" x14ac:dyDescent="0.25">
      <c r="D10" s="4"/>
      <c r="E10" s="4"/>
    </row>
    <row r="11" spans="1:5" ht="15.75" x14ac:dyDescent="0.25">
      <c r="D11" s="4"/>
      <c r="E11" s="3"/>
    </row>
    <row r="12" spans="1:5" ht="15.75" x14ac:dyDescent="0.25">
      <c r="C12" s="4"/>
      <c r="D12" s="4"/>
      <c r="E12" s="3"/>
    </row>
    <row r="13" spans="1:5" ht="15.75" x14ac:dyDescent="0.25">
      <c r="C13" s="4"/>
      <c r="D13" s="3"/>
    </row>
    <row r="14" spans="1:5" ht="15.75" x14ac:dyDescent="0.25">
      <c r="C14" s="4"/>
      <c r="D1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AD0CB-2ADD-4A94-A195-78D6B367A8C0}">
  <dimension ref="A1:Q22"/>
  <sheetViews>
    <sheetView tabSelected="1" zoomScale="115" zoomScaleNormal="115" workbookViewId="0">
      <selection activeCell="G13" sqref="G13"/>
    </sheetView>
  </sheetViews>
  <sheetFormatPr defaultRowHeight="15" x14ac:dyDescent="0.25"/>
  <cols>
    <col min="1" max="1" width="19.42578125" bestFit="1" customWidth="1"/>
    <col min="2" max="2" width="19.28515625" bestFit="1" customWidth="1"/>
    <col min="3" max="3" width="22.7109375" bestFit="1" customWidth="1"/>
    <col min="4" max="4" width="28.85546875" bestFit="1" customWidth="1"/>
    <col min="5" max="7" width="22.7109375" customWidth="1"/>
    <col min="8" max="8" width="27.140625" bestFit="1" customWidth="1"/>
  </cols>
  <sheetData>
    <row r="1" spans="1:17" x14ac:dyDescent="0.25">
      <c r="A1" t="s">
        <v>0</v>
      </c>
      <c r="B1" t="s">
        <v>6</v>
      </c>
      <c r="C1" t="str">
        <f>_xlfn.CONCAT("Production cost - ",C9)</f>
        <v>Production cost - Import</v>
      </c>
      <c r="D1" t="str">
        <f>_xlfn.CONCAT("Production cost - ",D9)</f>
        <v>Production cost - US East Coast</v>
      </c>
      <c r="E1" t="str">
        <f>_xlfn.CONCAT("Landed cost - ",E9)</f>
        <v>Landed cost - US East Coast</v>
      </c>
      <c r="F1" t="str">
        <f>_xlfn.CONCAT("Production cost - ",F9)</f>
        <v>Production cost - US East Coast</v>
      </c>
      <c r="G1" t="str">
        <f>_xlfn.CONCAT("Landed cost - ",G9)</f>
        <v>Landed cost - US East Coast</v>
      </c>
      <c r="H1" t="str">
        <f t="shared" ref="H1:Q1" si="0">_xlfn.CONCAT("Production cost - ",H9)</f>
        <v>Production cost - US Average</v>
      </c>
      <c r="I1" t="str">
        <f t="shared" si="0"/>
        <v>Production cost - GL Average</v>
      </c>
      <c r="J1" t="str">
        <f t="shared" si="0"/>
        <v>Production cost - MN</v>
      </c>
      <c r="K1" t="str">
        <f t="shared" si="0"/>
        <v>Production cost - WI</v>
      </c>
      <c r="L1" t="str">
        <f t="shared" si="0"/>
        <v>Production cost - IL</v>
      </c>
      <c r="M1" t="str">
        <f t="shared" si="0"/>
        <v>Production cost - IN</v>
      </c>
      <c r="N1" t="str">
        <f t="shared" si="0"/>
        <v>Production cost - MI</v>
      </c>
      <c r="O1" t="str">
        <f t="shared" si="0"/>
        <v>Production cost - OH</v>
      </c>
      <c r="P1" t="str">
        <f t="shared" si="0"/>
        <v>Production cost - PA</v>
      </c>
      <c r="Q1" t="str">
        <f t="shared" si="0"/>
        <v>Production cost - NY</v>
      </c>
    </row>
    <row r="2" spans="1:17" x14ac:dyDescent="0.25">
      <c r="A2" t="s">
        <v>1</v>
      </c>
      <c r="B2" s="2">
        <f>(B$7-B$6-B$5)*0.08</f>
        <v>103711.026747052</v>
      </c>
      <c r="C2" s="2">
        <f>B2</f>
        <v>103711.026747052</v>
      </c>
      <c r="D2" s="2">
        <f t="shared" ref="D2:G2" si="1">C2</f>
        <v>103711.026747052</v>
      </c>
      <c r="E2" s="2">
        <f t="shared" si="1"/>
        <v>103711.026747052</v>
      </c>
      <c r="F2" s="2">
        <f t="shared" si="1"/>
        <v>103711.026747052</v>
      </c>
      <c r="G2" s="2">
        <f t="shared" si="1"/>
        <v>103711.026747052</v>
      </c>
      <c r="H2" s="2">
        <f>C2</f>
        <v>103711.026747052</v>
      </c>
      <c r="I2" s="2">
        <f>H2</f>
        <v>103711.026747052</v>
      </c>
      <c r="J2" s="2">
        <f t="shared" ref="J2:Q2" si="2">I2</f>
        <v>103711.026747052</v>
      </c>
      <c r="K2" s="2">
        <f t="shared" si="2"/>
        <v>103711.026747052</v>
      </c>
      <c r="L2" s="2">
        <f t="shared" si="2"/>
        <v>103711.026747052</v>
      </c>
      <c r="M2" s="2">
        <f t="shared" si="2"/>
        <v>103711.026747052</v>
      </c>
      <c r="N2" s="2">
        <f t="shared" si="2"/>
        <v>103711.026747052</v>
      </c>
      <c r="O2" s="2">
        <f t="shared" si="2"/>
        <v>103711.026747052</v>
      </c>
      <c r="P2" s="2">
        <f t="shared" si="2"/>
        <v>103711.026747052</v>
      </c>
      <c r="Q2" s="2">
        <f t="shared" si="2"/>
        <v>103711.026747052</v>
      </c>
    </row>
    <row r="3" spans="1:17" x14ac:dyDescent="0.25">
      <c r="A3" t="s">
        <v>2</v>
      </c>
      <c r="B3" s="2">
        <f>(B$7-B$6-B$5)*0.18</f>
        <v>233349.810180867</v>
      </c>
      <c r="C3" s="2">
        <f t="shared" ref="C3:C4" si="3">B3</f>
        <v>233349.810180867</v>
      </c>
      <c r="D3" s="2">
        <f t="shared" ref="D3:G3" si="4">$C$3*D8</f>
        <v>268482.20353482646</v>
      </c>
      <c r="E3" s="2">
        <f t="shared" si="4"/>
        <v>268482.20353482646</v>
      </c>
      <c r="F3" s="2">
        <f t="shared" si="4"/>
        <v>244922.52205462119</v>
      </c>
      <c r="G3" s="2">
        <f t="shared" si="4"/>
        <v>244922.52205462119</v>
      </c>
      <c r="H3" s="2">
        <f>$C$3*H8</f>
        <v>250740.53631348896</v>
      </c>
      <c r="I3" s="2">
        <f t="shared" ref="I3:Q3" si="5">$C$3*I8</f>
        <v>251264.00298637725</v>
      </c>
      <c r="J3" s="2">
        <f t="shared" si="5"/>
        <v>269954.6836273392</v>
      </c>
      <c r="K3" s="2">
        <f t="shared" si="5"/>
        <v>244922.52205462227</v>
      </c>
      <c r="L3" s="2">
        <f t="shared" si="5"/>
        <v>240406.91643758316</v>
      </c>
      <c r="M3" s="2">
        <f t="shared" si="5"/>
        <v>241192.23915358997</v>
      </c>
      <c r="N3" s="2">
        <f t="shared" si="5"/>
        <v>257880.34686873454</v>
      </c>
      <c r="O3" s="2">
        <f t="shared" si="5"/>
        <v>251008.77310367502</v>
      </c>
      <c r="P3" s="2">
        <f t="shared" si="5"/>
        <v>255131.71736271074</v>
      </c>
      <c r="Q3" s="2">
        <f t="shared" si="5"/>
        <v>249634.45835066313</v>
      </c>
    </row>
    <row r="4" spans="1:17" x14ac:dyDescent="0.25">
      <c r="A4" t="s">
        <v>3</v>
      </c>
      <c r="B4" s="2">
        <f>(B$7-B$6-B$5)*0.74</f>
        <v>959326.99741023104</v>
      </c>
      <c r="C4" s="2">
        <f t="shared" si="3"/>
        <v>959326.99741023104</v>
      </c>
      <c r="D4" s="2">
        <f>$C$4*1.16103736538282</f>
        <v>1113814.4896137861</v>
      </c>
      <c r="E4" s="2">
        <f t="shared" ref="E4:G4" si="6">$C$4*1.16103736538282</f>
        <v>1113814.4896137861</v>
      </c>
      <c r="F4" s="2">
        <f t="shared" si="6"/>
        <v>1113814.4896137861</v>
      </c>
      <c r="G4" s="2">
        <f t="shared" si="6"/>
        <v>1113814.4896137861</v>
      </c>
      <c r="H4" s="2">
        <f>$C$4*1.24873862868761</f>
        <v>1197948.6792090544</v>
      </c>
      <c r="I4" s="2">
        <f>H4</f>
        <v>1197948.6792090544</v>
      </c>
      <c r="J4" s="2">
        <f t="shared" ref="J4:Q4" si="7">I4</f>
        <v>1197948.6792090544</v>
      </c>
      <c r="K4" s="2">
        <f t="shared" si="7"/>
        <v>1197948.6792090544</v>
      </c>
      <c r="L4" s="2">
        <f t="shared" si="7"/>
        <v>1197948.6792090544</v>
      </c>
      <c r="M4" s="2">
        <f t="shared" si="7"/>
        <v>1197948.6792090544</v>
      </c>
      <c r="N4" s="2">
        <f t="shared" si="7"/>
        <v>1197948.6792090544</v>
      </c>
      <c r="O4" s="2">
        <f t="shared" si="7"/>
        <v>1197948.6792090544</v>
      </c>
      <c r="P4" s="2">
        <f t="shared" si="7"/>
        <v>1197948.6792090544</v>
      </c>
      <c r="Q4" s="2">
        <f t="shared" si="7"/>
        <v>1197948.6792090544</v>
      </c>
    </row>
    <row r="5" spans="1:17" x14ac:dyDescent="0.25">
      <c r="A5" t="s">
        <v>4</v>
      </c>
      <c r="B5" s="6">
        <v>66201.675768423273</v>
      </c>
      <c r="C5" s="2">
        <v>0</v>
      </c>
      <c r="D5" s="2">
        <v>0</v>
      </c>
      <c r="E5" s="6">
        <v>185356.32170441691</v>
      </c>
      <c r="F5" s="2">
        <v>0</v>
      </c>
      <c r="G5" s="6">
        <v>184881.40587117622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 x14ac:dyDescent="0.25">
      <c r="A6" t="s">
        <v>8</v>
      </c>
      <c r="B6" s="2">
        <v>37410.489893426668</v>
      </c>
      <c r="C6" s="2">
        <v>0</v>
      </c>
      <c r="D6" s="2">
        <v>0</v>
      </c>
      <c r="E6" s="2">
        <v>2789.2833389713769</v>
      </c>
      <c r="F6" s="2">
        <v>0</v>
      </c>
      <c r="G6" s="2">
        <v>6160.1474893125605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 x14ac:dyDescent="0.25">
      <c r="A7" t="s">
        <v>5</v>
      </c>
      <c r="B7" s="1">
        <v>1400000</v>
      </c>
      <c r="C7" s="2">
        <f>SUM(C2:C6)</f>
        <v>1296387.83433815</v>
      </c>
      <c r="D7" s="2">
        <f t="shared" ref="D7:G7" si="8">SUM(D2:D6)</f>
        <v>1486007.7198956646</v>
      </c>
      <c r="E7" s="2">
        <f t="shared" si="8"/>
        <v>1674153.324939053</v>
      </c>
      <c r="F7" s="2">
        <f t="shared" si="8"/>
        <v>1462448.0384154595</v>
      </c>
      <c r="G7" s="2">
        <f t="shared" si="8"/>
        <v>1653489.5917759482</v>
      </c>
      <c r="H7" s="2">
        <f>SUM(H2:H6)</f>
        <v>1552400.2422695954</v>
      </c>
      <c r="I7" s="2">
        <f t="shared" ref="I7:Q7" si="9">SUM(I2:I6)</f>
        <v>1552923.7089424836</v>
      </c>
      <c r="J7" s="2">
        <f t="shared" si="9"/>
        <v>1571614.3895834456</v>
      </c>
      <c r="K7" s="2">
        <f t="shared" si="9"/>
        <v>1546582.2280107287</v>
      </c>
      <c r="L7" s="2">
        <f t="shared" si="9"/>
        <v>1542066.6223936896</v>
      </c>
      <c r="M7" s="2">
        <f t="shared" si="9"/>
        <v>1542851.9451096964</v>
      </c>
      <c r="N7" s="2">
        <f t="shared" si="9"/>
        <v>1559540.0528248409</v>
      </c>
      <c r="O7" s="2">
        <f t="shared" si="9"/>
        <v>1552668.4790597814</v>
      </c>
      <c r="P7" s="2">
        <f t="shared" si="9"/>
        <v>1556791.4233188173</v>
      </c>
      <c r="Q7" s="2">
        <f t="shared" si="9"/>
        <v>1551294.1643067696</v>
      </c>
    </row>
    <row r="8" spans="1:17" x14ac:dyDescent="0.25">
      <c r="C8">
        <v>1</v>
      </c>
      <c r="D8">
        <v>1.1505567685130265</v>
      </c>
      <c r="E8">
        <v>1.1505567685130265</v>
      </c>
      <c r="F8">
        <v>1.0495938345301601</v>
      </c>
      <c r="G8">
        <v>1.0495938345301601</v>
      </c>
      <c r="H8">
        <v>1.0745264207377867</v>
      </c>
      <c r="I8">
        <v>1.0767696909272184</v>
      </c>
      <c r="J8">
        <v>1.1568669518869552</v>
      </c>
      <c r="K8">
        <v>1.0495938345301647</v>
      </c>
      <c r="L8">
        <v>1.030242605516783</v>
      </c>
      <c r="M8">
        <v>1.033608036649545</v>
      </c>
      <c r="N8">
        <v>1.1051234482207386</v>
      </c>
      <c r="O8">
        <v>1.0756759258090707</v>
      </c>
      <c r="P8">
        <v>1.0933444392560714</v>
      </c>
      <c r="Q8">
        <v>1.0697864213267372</v>
      </c>
    </row>
    <row r="9" spans="1:17" x14ac:dyDescent="0.25">
      <c r="C9" t="s">
        <v>10</v>
      </c>
      <c r="D9" t="s">
        <v>21</v>
      </c>
      <c r="E9" t="s">
        <v>21</v>
      </c>
      <c r="F9" t="s">
        <v>21</v>
      </c>
      <c r="G9" t="s">
        <v>21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  <c r="O9" t="s">
        <v>18</v>
      </c>
      <c r="P9" t="s">
        <v>19</v>
      </c>
      <c r="Q9" t="s">
        <v>20</v>
      </c>
    </row>
    <row r="10" spans="1:17" x14ac:dyDescent="0.25">
      <c r="D10" t="s">
        <v>22</v>
      </c>
      <c r="E10" t="s">
        <v>22</v>
      </c>
      <c r="F10" t="s">
        <v>23</v>
      </c>
      <c r="G10" t="s">
        <v>23</v>
      </c>
    </row>
    <row r="11" spans="1:17" x14ac:dyDescent="0.25">
      <c r="E11" s="2">
        <f>SUM(E2:E4)</f>
        <v>1486007.7198956646</v>
      </c>
      <c r="F11" s="2">
        <f>SUM(F2:F4)</f>
        <v>1462448.0384154595</v>
      </c>
    </row>
    <row r="12" spans="1:17" ht="15.75" x14ac:dyDescent="0.25">
      <c r="C12" s="4">
        <v>1</v>
      </c>
      <c r="D12" s="4"/>
      <c r="E12" s="4"/>
      <c r="F12" s="4"/>
      <c r="G12" s="4"/>
      <c r="H12" s="5">
        <v>1290836.5000879797</v>
      </c>
    </row>
    <row r="13" spans="1:17" ht="15.75" x14ac:dyDescent="0.25">
      <c r="C13" s="3">
        <v>1.0745264207377867</v>
      </c>
      <c r="D13" s="3"/>
      <c r="E13" s="3"/>
      <c r="F13" s="3"/>
      <c r="G13" s="3"/>
      <c r="H13" s="5">
        <v>1545752.623087575</v>
      </c>
    </row>
    <row r="14" spans="1:17" ht="15.75" x14ac:dyDescent="0.25">
      <c r="C14" s="3">
        <v>1.0767696909272184</v>
      </c>
      <c r="D14" s="3"/>
      <c r="E14" s="3"/>
      <c r="F14" s="3"/>
      <c r="G14" s="3"/>
      <c r="H14" s="5">
        <v>1546273.8481947889</v>
      </c>
    </row>
    <row r="15" spans="1:17" ht="15.75" x14ac:dyDescent="0.25">
      <c r="C15" s="3">
        <v>1.1568669518869552</v>
      </c>
      <c r="D15" s="3"/>
      <c r="E15" s="3"/>
      <c r="F15" s="3"/>
      <c r="G15" s="3"/>
      <c r="H15" s="5">
        <v>1564884.4924354909</v>
      </c>
    </row>
    <row r="16" spans="1:17" ht="15.75" x14ac:dyDescent="0.25">
      <c r="C16" s="3">
        <v>1.0495938345301647</v>
      </c>
      <c r="D16" s="3"/>
      <c r="E16" s="3"/>
      <c r="F16" s="3"/>
      <c r="G16" s="3"/>
      <c r="H16" s="5">
        <v>1539959.5224702652</v>
      </c>
    </row>
    <row r="17" spans="3:8" ht="15.75" x14ac:dyDescent="0.25">
      <c r="C17" s="3">
        <v>1.030242605516783</v>
      </c>
      <c r="D17" s="3"/>
      <c r="E17" s="3"/>
      <c r="F17" s="3"/>
      <c r="G17" s="3"/>
      <c r="H17" s="5">
        <v>1535463.2533784988</v>
      </c>
    </row>
    <row r="18" spans="3:8" ht="15.75" x14ac:dyDescent="0.25">
      <c r="C18" s="3">
        <v>1.033608036649545</v>
      </c>
      <c r="D18" s="3"/>
      <c r="E18" s="3"/>
      <c r="F18" s="3"/>
      <c r="G18" s="3"/>
      <c r="H18" s="5">
        <v>1536245.2132205451</v>
      </c>
    </row>
    <row r="19" spans="3:8" ht="15.75" x14ac:dyDescent="0.25">
      <c r="C19" s="3">
        <v>1.1051234482207386</v>
      </c>
      <c r="D19" s="3"/>
      <c r="E19" s="3"/>
      <c r="F19" s="3"/>
      <c r="G19" s="3"/>
      <c r="H19" s="5">
        <v>1552861.8598640291</v>
      </c>
    </row>
    <row r="20" spans="3:8" ht="15.75" x14ac:dyDescent="0.25">
      <c r="C20" s="3">
        <v>1.0756759258090707</v>
      </c>
      <c r="D20" s="3"/>
      <c r="E20" s="3"/>
      <c r="F20" s="3"/>
      <c r="G20" s="3"/>
      <c r="H20" s="5">
        <v>1546019.711246124</v>
      </c>
    </row>
    <row r="21" spans="3:8" ht="15.75" x14ac:dyDescent="0.25">
      <c r="C21" s="3">
        <v>1.0933444392560714</v>
      </c>
      <c r="D21" s="3"/>
      <c r="E21" s="3"/>
      <c r="F21" s="3"/>
      <c r="G21" s="3"/>
      <c r="H21" s="5">
        <v>1550125.000416867</v>
      </c>
    </row>
    <row r="22" spans="3:8" ht="15.75" x14ac:dyDescent="0.25">
      <c r="C22" s="3">
        <v>1.0697864213267372</v>
      </c>
      <c r="D22" s="3"/>
      <c r="E22" s="3"/>
      <c r="F22" s="3"/>
      <c r="G22" s="3"/>
      <c r="H22" s="5">
        <v>1544651.2815225429</v>
      </c>
    </row>
  </sheetData>
  <pageMargins left="0.7" right="0.7" top="0.75" bottom="0.75" header="0.3" footer="0.3"/>
  <ignoredErrors>
    <ignoredError sqref="H3:Q3 E1:G1 H2 I4:Q4" formula="1"/>
  </ignoredErrors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All option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Mulas Hernando, Daniel</cp:lastModifiedBy>
  <dcterms:created xsi:type="dcterms:W3CDTF">2025-03-18T21:13:18Z</dcterms:created>
  <dcterms:modified xsi:type="dcterms:W3CDTF">2025-05-22T00:16:14Z</dcterms:modified>
</cp:coreProperties>
</file>