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9FECE590-7DE5-498D-9F61-36B44709CEE5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F12" i="3"/>
  <c r="G12" i="3"/>
  <c r="D12" i="3"/>
  <c r="B3" i="3"/>
  <c r="C3" i="3" s="1"/>
  <c r="G1" i="3"/>
  <c r="E1" i="3"/>
  <c r="D1" i="3"/>
  <c r="F1" i="3"/>
  <c r="H1" i="3"/>
  <c r="I1" i="3"/>
  <c r="J1" i="3"/>
  <c r="K1" i="3"/>
  <c r="L1" i="3"/>
  <c r="M1" i="3"/>
  <c r="N1" i="3"/>
  <c r="O1" i="3"/>
  <c r="P1" i="3"/>
  <c r="Q1" i="3"/>
  <c r="C1" i="3"/>
  <c r="D3" i="2"/>
  <c r="D4" i="2"/>
  <c r="B2" i="2"/>
  <c r="B3" i="2"/>
  <c r="C3" i="2" s="1"/>
  <c r="B4" i="2"/>
  <c r="M3" i="3" l="1"/>
  <c r="G3" i="3"/>
  <c r="D3" i="3"/>
  <c r="E3" i="3"/>
  <c r="H3" i="3"/>
  <c r="F3" i="3"/>
  <c r="B2" i="3"/>
  <c r="C2" i="3" s="1"/>
  <c r="B4" i="3"/>
  <c r="C4" i="3" s="1"/>
  <c r="L3" i="3"/>
  <c r="K3" i="3"/>
  <c r="J3" i="3"/>
  <c r="Q3" i="3"/>
  <c r="I3" i="3"/>
  <c r="P3" i="3"/>
  <c r="N3" i="3"/>
  <c r="O3" i="3"/>
  <c r="C4" i="2"/>
  <c r="C2" i="2"/>
  <c r="C7" i="3" l="1"/>
  <c r="H2" i="3"/>
  <c r="J2" i="3" s="1"/>
  <c r="H4" i="3"/>
  <c r="I4" i="3" s="1"/>
  <c r="J4" i="3" s="1"/>
  <c r="K4" i="3" s="1"/>
  <c r="L4" i="3" s="1"/>
  <c r="M4" i="3" s="1"/>
  <c r="N4" i="3" s="1"/>
  <c r="O4" i="3" s="1"/>
  <c r="P4" i="3" s="1"/>
  <c r="Q4" i="3" s="1"/>
  <c r="E4" i="3"/>
  <c r="F4" i="3"/>
  <c r="G4" i="3"/>
  <c r="D4" i="3"/>
  <c r="I2" i="3"/>
  <c r="K2" i="3" s="1"/>
  <c r="D2" i="3"/>
  <c r="C7" i="2"/>
  <c r="D2" i="2"/>
  <c r="D7" i="2"/>
  <c r="H7" i="3" l="1"/>
  <c r="E2" i="3"/>
  <c r="D7" i="3"/>
  <c r="M2" i="3"/>
  <c r="K7" i="3"/>
  <c r="I7" i="3"/>
  <c r="L2" i="3"/>
  <c r="J7" i="3"/>
  <c r="O2" i="3" l="1"/>
  <c r="M7" i="3"/>
  <c r="F2" i="3"/>
  <c r="E7" i="3"/>
  <c r="N2" i="3"/>
  <c r="L7" i="3"/>
  <c r="G2" i="3" l="1"/>
  <c r="G7" i="3" s="1"/>
  <c r="F7" i="3"/>
  <c r="Q2" i="3"/>
  <c r="Q7" i="3" s="1"/>
  <c r="O7" i="3"/>
  <c r="P2" i="3"/>
  <c r="P7" i="3" s="1"/>
  <c r="N7" i="3"/>
</calcChain>
</file>

<file path=xl/sharedStrings.xml><?xml version="1.0" encoding="utf-8"?>
<sst xmlns="http://schemas.openxmlformats.org/spreadsheetml/2006/main" count="37" uniqueCount="24">
  <si>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</si>
  <si>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</si>
  <si>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</si>
  <si>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</si>
  <si>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</si>
  <si>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</si>
  <si>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</si>
  <si>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</si>
  <si>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</si>
  <si>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</si>
  <si>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</si>
  <si>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</si>
  <si>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</si>
  <si>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</si>
  <si>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</si>
  <si>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</si>
  <si>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</si>
  <si>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</si>
  <si>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</si>
  <si>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</si>
  <si>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</si>
  <si>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US East Coast</t>
  </si>
  <si>
    <t>Sparrows Point MD</t>
  </si>
  <si>
    <t>Paulsboro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</si>
</sst>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2" fontId="18" fillId="0" borderId="0" xfId="43" applyNumberFormat="1"/>
    <xf numFmtId="0" fontId="18" fillId="0" borderId="0" xfId="43"/>
    <xf numFmtId="164" fontId="0" fillId="0" borderId="0" xfId="45" applyNumberFormat="1" applyFont="1"/>
    <xf numFmtId="1" fontId="0" fillId="33" borderId="0" xfId="0" applyNumberFormat="1" applyFill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9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(B$7-B$6-B$5)*0.12</f>
        <v>1244571.5159653234</v>
      </c>
      <c r="C2" s="2">
        <f>B2</f>
        <v>1244571.5159653234</v>
      </c>
      <c r="D2" s="2">
        <f>C2</f>
        <v>1244571.5159653234</v>
      </c>
      <c r="E2" s="2"/>
    </row>
    <row r="3" spans="1:5" x14ac:dyDescent="0.25">
      <c r="A3" t="s">
        <v>2</v>
      </c>
      <c r="B3" s="2">
        <f>(B$7-B$6-B$5)*0.33</f>
        <v>3422571.6689046393</v>
      </c>
      <c r="C3" s="2">
        <f t="shared" ref="C3:C4" si="0">B3</f>
        <v>3422571.6689046393</v>
      </c>
      <c r="D3" s="2">
        <f>C3*0.96730855351545</f>
        <v>3310682.8503511064</v>
      </c>
      <c r="E3" s="2"/>
    </row>
    <row r="4" spans="1:5" x14ac:dyDescent="0.25">
      <c r="A4" t="s">
        <v>3</v>
      </c>
      <c r="B4" s="2">
        <f>(B$7-B$6-B$5)*0.55</f>
        <v>5704286.1148410663</v>
      </c>
      <c r="C4" s="2">
        <f t="shared" si="0"/>
        <v>5704286.1148410663</v>
      </c>
      <c r="D4" s="2">
        <f>C4*1.86277899000992</f>
        <v>10625824.327731252</v>
      </c>
      <c r="E4" s="2"/>
    </row>
    <row r="5" spans="1:5" x14ac:dyDescent="0.25">
      <c r="A5" t="s">
        <v>4</v>
      </c>
      <c r="B5" s="2">
        <v>460473.70028897224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938097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11770000</v>
      </c>
      <c r="C7" s="2">
        <f>SUM(C2:C6)</f>
        <v>10371429.29971103</v>
      </c>
      <c r="D7" s="2">
        <f>SUM(D2:D6)</f>
        <v>15181078.694047682</v>
      </c>
      <c r="E7" s="2"/>
    </row>
    <row r="9" spans="1:5" ht="15.75" x14ac:dyDescent="0.25">
      <c r="D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BD01-117E-48A6-BDDA-B20E5514A32B}">
  <dimension ref="A1:R21"/>
  <sheetViews>
    <sheetView tabSelected="1" workbookViewId="0">
      <selection activeCell="D5" sqref="D5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7" width="22.7109375" customWidth="1"/>
    <col min="8" max="8" width="27.140625" bestFit="1" customWidth="1"/>
  </cols>
  <sheetData>
    <row r="1" spans="1:18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F1" si="0">_xlfn.CONCAT("Production cost - ",D9)</f>
        <v>Production cost - US East Coast</v>
      </c>
      <c r="E1" t="str">
        <f>_xlfn.CONCAT("Landed cost - ",E9)</f>
        <v>Landed cost - US East Coast</v>
      </c>
      <c r="F1" t="str">
        <f t="shared" si="0"/>
        <v>Production cost - US East Coast</v>
      </c>
      <c r="G1" t="str">
        <f>_xlfn.CONCAT("Landed cost - ",G9)</f>
        <v>Landed cost - US East Coast</v>
      </c>
      <c r="H1" t="str">
        <f t="shared" ref="H1:Q1" si="1">_xlfn.CONCAT("Production cost - ",H9)</f>
        <v>Production cost - US Average</v>
      </c>
      <c r="I1" t="str">
        <f t="shared" si="1"/>
        <v>Production cost - GL Average</v>
      </c>
      <c r="J1" t="str">
        <f t="shared" si="1"/>
        <v>Production cost - MN</v>
      </c>
      <c r="K1" t="str">
        <f t="shared" si="1"/>
        <v>Production cost - WI</v>
      </c>
      <c r="L1" t="str">
        <f t="shared" si="1"/>
        <v>Production cost - IL</v>
      </c>
      <c r="M1" t="str">
        <f t="shared" si="1"/>
        <v>Production cost - IN</v>
      </c>
      <c r="N1" t="str">
        <f t="shared" si="1"/>
        <v>Production cost - MI</v>
      </c>
      <c r="O1" t="str">
        <f t="shared" si="1"/>
        <v>Production cost - OH</v>
      </c>
      <c r="P1" t="str">
        <f t="shared" si="1"/>
        <v>Production cost - PA</v>
      </c>
      <c r="Q1" t="str">
        <f t="shared" si="1"/>
        <v>Production cost - NY</v>
      </c>
    </row>
    <row r="2" spans="1:18" x14ac:dyDescent="0.25">
      <c r="A2" t="s">
        <v>1</v>
      </c>
      <c r="B2" s="2">
        <f>(B$7-B$6-B$5)*0.12</f>
        <v>1269869.5798831305</v>
      </c>
      <c r="C2" s="2">
        <f>B2</f>
        <v>1269869.5798831305</v>
      </c>
      <c r="D2" s="2">
        <f t="shared" ref="D2:G2" si="2">C2</f>
        <v>1269869.5798831305</v>
      </c>
      <c r="E2" s="2">
        <f t="shared" si="2"/>
        <v>1269869.5798831305</v>
      </c>
      <c r="F2" s="2">
        <f t="shared" si="2"/>
        <v>1269869.5798831305</v>
      </c>
      <c r="G2" s="2">
        <f t="shared" si="2"/>
        <v>1269869.5798831305</v>
      </c>
      <c r="H2" s="2">
        <f>C2</f>
        <v>1269869.5798831305</v>
      </c>
      <c r="I2" s="2">
        <f>C2</f>
        <v>1269869.5798831305</v>
      </c>
      <c r="J2" s="2">
        <f>H2</f>
        <v>1269869.5798831305</v>
      </c>
      <c r="K2" s="2">
        <f t="shared" ref="K2:Q2" si="3">I2</f>
        <v>1269869.5798831305</v>
      </c>
      <c r="L2" s="2">
        <f t="shared" si="3"/>
        <v>1269869.5798831305</v>
      </c>
      <c r="M2" s="2">
        <f t="shared" si="3"/>
        <v>1269869.5798831305</v>
      </c>
      <c r="N2" s="2">
        <f t="shared" si="3"/>
        <v>1269869.5798831305</v>
      </c>
      <c r="O2" s="2">
        <f t="shared" si="3"/>
        <v>1269869.5798831305</v>
      </c>
      <c r="P2" s="2">
        <f t="shared" si="3"/>
        <v>1269869.5798831305</v>
      </c>
      <c r="Q2" s="2">
        <f t="shared" si="3"/>
        <v>1269869.5798831305</v>
      </c>
      <c r="R2" s="2"/>
    </row>
    <row r="3" spans="1:18" x14ac:dyDescent="0.25">
      <c r="A3" t="s">
        <v>2</v>
      </c>
      <c r="B3" s="2">
        <f>(B$7-B$6-B$5)*0.33</f>
        <v>3492141.3446786092</v>
      </c>
      <c r="C3" s="2">
        <f t="shared" ref="C3:C4" si="4">B3</f>
        <v>3492141.3446786092</v>
      </c>
      <c r="D3" s="2">
        <f t="shared" ref="D3:G3" si="5">$C$3*D8</f>
        <v>3389063.9158818973</v>
      </c>
      <c r="E3" s="2">
        <f t="shared" si="5"/>
        <v>3389063.9158818973</v>
      </c>
      <c r="F3" s="2">
        <f t="shared" si="5"/>
        <v>3346832.5898272945</v>
      </c>
      <c r="G3" s="2">
        <f t="shared" si="5"/>
        <v>3346832.5898272945</v>
      </c>
      <c r="H3" s="2">
        <f>$C$3*H8</f>
        <v>3370940.7382242465</v>
      </c>
      <c r="I3" s="2">
        <f t="shared" ref="I3:Q3" si="6">$C$3*I8</f>
        <v>3377978.1927925646</v>
      </c>
      <c r="J3" s="2">
        <f t="shared" si="6"/>
        <v>3629254.582817452</v>
      </c>
      <c r="K3" s="2">
        <f t="shared" si="6"/>
        <v>3292723.7033198341</v>
      </c>
      <c r="L3" s="2">
        <f t="shared" si="6"/>
        <v>3232016.172116342</v>
      </c>
      <c r="M3" s="2">
        <f t="shared" si="6"/>
        <v>3242574.0036299932</v>
      </c>
      <c r="N3" s="2">
        <f t="shared" si="6"/>
        <v>3466927.9232950723</v>
      </c>
      <c r="O3" s="2">
        <f t="shared" si="6"/>
        <v>3374546.8975506276</v>
      </c>
      <c r="P3" s="2">
        <f t="shared" si="6"/>
        <v>3429975.5129972938</v>
      </c>
      <c r="Q3" s="2">
        <f t="shared" si="6"/>
        <v>3356070.6924017388</v>
      </c>
      <c r="R3" s="2"/>
    </row>
    <row r="4" spans="1:18" x14ac:dyDescent="0.25">
      <c r="A4" t="s">
        <v>3</v>
      </c>
      <c r="B4" s="2">
        <f>(B$7-B$6-B$5)*0.55</f>
        <v>5820235.5744643491</v>
      </c>
      <c r="C4" s="2">
        <f t="shared" si="4"/>
        <v>5820235.5744643491</v>
      </c>
      <c r="D4" s="2">
        <f>$C$4*1.20622259411537</f>
        <v>7020499.652992947</v>
      </c>
      <c r="E4" s="2">
        <f t="shared" ref="E4:G4" si="7">$C$4*1.20622259411537</f>
        <v>7020499.652992947</v>
      </c>
      <c r="F4" s="2">
        <f t="shared" si="7"/>
        <v>7020499.652992947</v>
      </c>
      <c r="G4" s="2">
        <f t="shared" si="7"/>
        <v>7020499.652992947</v>
      </c>
      <c r="H4" s="2">
        <f>C4*1.86277899000992</f>
        <v>10841812.545020508</v>
      </c>
      <c r="I4" s="2">
        <f>H4</f>
        <v>10841812.545020508</v>
      </c>
      <c r="J4" s="2">
        <f t="shared" ref="J4:Q4" si="8">I4</f>
        <v>10841812.545020508</v>
      </c>
      <c r="K4" s="2">
        <f t="shared" si="8"/>
        <v>10841812.545020508</v>
      </c>
      <c r="L4" s="2">
        <f t="shared" si="8"/>
        <v>10841812.545020508</v>
      </c>
      <c r="M4" s="2">
        <f t="shared" si="8"/>
        <v>10841812.545020508</v>
      </c>
      <c r="N4" s="2">
        <f t="shared" si="8"/>
        <v>10841812.545020508</v>
      </c>
      <c r="O4" s="2">
        <f t="shared" si="8"/>
        <v>10841812.545020508</v>
      </c>
      <c r="P4" s="2">
        <f t="shared" si="8"/>
        <v>10841812.545020508</v>
      </c>
      <c r="Q4" s="2">
        <f t="shared" si="8"/>
        <v>10841812.545020508</v>
      </c>
    </row>
    <row r="5" spans="1:18" x14ac:dyDescent="0.25">
      <c r="A5" t="s">
        <v>4</v>
      </c>
      <c r="B5" s="6">
        <v>484452.10059112631</v>
      </c>
      <c r="C5" s="2">
        <v>0</v>
      </c>
      <c r="D5" s="2">
        <v>0</v>
      </c>
      <c r="E5" s="6">
        <v>543192.61662816769</v>
      </c>
      <c r="F5" s="2">
        <v>0</v>
      </c>
      <c r="G5" s="6">
        <v>542018.87310193165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8" x14ac:dyDescent="0.25">
      <c r="A6" t="s">
        <v>8</v>
      </c>
      <c r="B6" s="2">
        <v>703301.40038278466</v>
      </c>
      <c r="C6" s="2">
        <v>0</v>
      </c>
      <c r="D6" s="2">
        <v>0</v>
      </c>
      <c r="E6" s="2">
        <v>98301.616993939388</v>
      </c>
      <c r="F6" s="2">
        <v>0</v>
      </c>
      <c r="G6" s="2">
        <v>80272.499466666661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8" x14ac:dyDescent="0.25">
      <c r="A7" t="s">
        <v>5</v>
      </c>
      <c r="B7" s="1">
        <v>11770000</v>
      </c>
      <c r="C7" s="2">
        <f>SUM(C2:C6)</f>
        <v>10582246.49902609</v>
      </c>
      <c r="D7" s="2">
        <f t="shared" ref="D7:G7" si="9">SUM(D2:D6)</f>
        <v>11679433.148757976</v>
      </c>
      <c r="E7" s="2">
        <f t="shared" si="9"/>
        <v>12320927.382380083</v>
      </c>
      <c r="F7" s="2">
        <f t="shared" si="9"/>
        <v>11637201.822703373</v>
      </c>
      <c r="G7" s="2">
        <f t="shared" si="9"/>
        <v>12259493.195271971</v>
      </c>
      <c r="H7" s="2">
        <f>SUM(H2:H6)</f>
        <v>15482622.863127884</v>
      </c>
      <c r="I7" s="2">
        <f t="shared" ref="I7:Q7" si="10">SUM(I2:I6)</f>
        <v>15489660.317696203</v>
      </c>
      <c r="J7" s="2">
        <f t="shared" si="10"/>
        <v>15740936.70772109</v>
      </c>
      <c r="K7" s="2">
        <f t="shared" si="10"/>
        <v>15404405.828223472</v>
      </c>
      <c r="L7" s="2">
        <f t="shared" si="10"/>
        <v>15343698.297019981</v>
      </c>
      <c r="M7" s="2">
        <f t="shared" si="10"/>
        <v>15354256.128533632</v>
      </c>
      <c r="N7" s="2">
        <f t="shared" si="10"/>
        <v>15578610.048198711</v>
      </c>
      <c r="O7" s="2">
        <f t="shared" si="10"/>
        <v>15486229.022454266</v>
      </c>
      <c r="P7" s="2">
        <f t="shared" si="10"/>
        <v>15541657.637900932</v>
      </c>
      <c r="Q7" s="2">
        <f t="shared" si="10"/>
        <v>15467752.817305377</v>
      </c>
    </row>
    <row r="8" spans="1:18" x14ac:dyDescent="0.25">
      <c r="C8">
        <v>1</v>
      </c>
      <c r="D8">
        <v>0.97048303071873565</v>
      </c>
      <c r="E8">
        <v>0.97048303071873565</v>
      </c>
      <c r="F8">
        <v>0.95838978423002863</v>
      </c>
      <c r="G8">
        <v>0.95838978423002863</v>
      </c>
      <c r="H8">
        <v>0.9652933273622929</v>
      </c>
      <c r="I8">
        <v>0.9673085535154502</v>
      </c>
      <c r="J8">
        <v>1.0392633701232565</v>
      </c>
      <c r="K8">
        <v>0.94289531216637279</v>
      </c>
      <c r="L8">
        <v>0.9255112703388565</v>
      </c>
      <c r="M8">
        <v>0.92853458196103333</v>
      </c>
      <c r="N8">
        <v>0.99277995393228924</v>
      </c>
      <c r="O8">
        <v>0.96632597723824265</v>
      </c>
      <c r="P8">
        <v>0.98219836325467047</v>
      </c>
      <c r="Q8">
        <v>0.96103518189943338</v>
      </c>
    </row>
    <row r="9" spans="1:18" x14ac:dyDescent="0.25">
      <c r="C9" t="s">
        <v>10</v>
      </c>
      <c r="D9" t="s">
        <v>21</v>
      </c>
      <c r="E9" t="s">
        <v>21</v>
      </c>
      <c r="F9" t="s">
        <v>21</v>
      </c>
      <c r="G9" t="s">
        <v>21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</row>
    <row r="10" spans="1:18" x14ac:dyDescent="0.25">
      <c r="D10" t="s">
        <v>22</v>
      </c>
      <c r="E10" t="s">
        <v>22</v>
      </c>
      <c r="F10" t="s">
        <v>23</v>
      </c>
      <c r="G10" t="s">
        <v>23</v>
      </c>
    </row>
    <row r="11" spans="1:18" ht="15.75" x14ac:dyDescent="0.25">
      <c r="C11" s="4">
        <v>1</v>
      </c>
      <c r="D11" s="4"/>
      <c r="E11" s="4"/>
      <c r="F11" s="4"/>
      <c r="G11" s="4"/>
      <c r="H11" s="5">
        <v>10371429.29971103</v>
      </c>
    </row>
    <row r="12" spans="1:18" ht="15.75" x14ac:dyDescent="0.25">
      <c r="C12" s="3">
        <v>0.9652933273622929</v>
      </c>
      <c r="D12" s="3">
        <f>SUM(D2:D4)</f>
        <v>11679433.148757976</v>
      </c>
      <c r="E12" s="3">
        <f t="shared" ref="E12:G12" si="11">SUM(E2:E4)</f>
        <v>11679433.148757976</v>
      </c>
      <c r="F12" s="3">
        <f t="shared" si="11"/>
        <v>11637201.822703373</v>
      </c>
      <c r="G12" s="3">
        <f t="shared" si="11"/>
        <v>11637201.822703373</v>
      </c>
      <c r="H12" s="5">
        <v>15174181.43810945</v>
      </c>
    </row>
    <row r="13" spans="1:18" ht="15.75" x14ac:dyDescent="0.25">
      <c r="B13">
        <v>1.206222594115365</v>
      </c>
      <c r="C13" s="3">
        <v>0.9673085535154502</v>
      </c>
      <c r="D13" s="3"/>
      <c r="E13" s="3"/>
      <c r="F13" s="3"/>
      <c r="G13" s="3"/>
      <c r="H13" s="5">
        <v>15181078.694047682</v>
      </c>
    </row>
    <row r="14" spans="1:18" ht="15.75" x14ac:dyDescent="0.25">
      <c r="C14" s="3">
        <v>1.0392633701232565</v>
      </c>
      <c r="D14" s="3"/>
      <c r="E14" s="3"/>
      <c r="F14" s="3"/>
      <c r="G14" s="3"/>
      <c r="H14" s="5">
        <v>15427349.210810788</v>
      </c>
    </row>
    <row r="15" spans="1:18" ht="15.75" x14ac:dyDescent="0.25">
      <c r="C15" s="3">
        <v>0.94289531216637279</v>
      </c>
      <c r="D15" s="3"/>
      <c r="E15" s="3"/>
      <c r="F15" s="3"/>
      <c r="G15" s="3"/>
      <c r="H15" s="5">
        <v>15097522.625860199</v>
      </c>
    </row>
    <row r="16" spans="1:18" ht="15.75" x14ac:dyDescent="0.25">
      <c r="C16" s="3">
        <v>0.9255112703388565</v>
      </c>
      <c r="D16" s="3"/>
      <c r="E16" s="3"/>
      <c r="F16" s="3"/>
      <c r="G16" s="3"/>
      <c r="H16" s="5">
        <v>15038024.496810287</v>
      </c>
    </row>
    <row r="17" spans="3:8" ht="15.75" x14ac:dyDescent="0.25">
      <c r="C17" s="3">
        <v>0.92853458196103333</v>
      </c>
      <c r="D17" s="3"/>
      <c r="E17" s="3"/>
      <c r="F17" s="3"/>
      <c r="G17" s="3"/>
      <c r="H17" s="5">
        <v>15048371.99751462</v>
      </c>
    </row>
    <row r="18" spans="3:8" ht="15.75" x14ac:dyDescent="0.25">
      <c r="C18" s="3">
        <v>0.99277995393228924</v>
      </c>
      <c r="D18" s="3"/>
      <c r="E18" s="3"/>
      <c r="F18" s="3"/>
      <c r="G18" s="3"/>
      <c r="H18" s="5">
        <v>15268256.387481682</v>
      </c>
    </row>
    <row r="19" spans="3:8" ht="15.75" x14ac:dyDescent="0.25">
      <c r="C19" s="3">
        <v>0.96632597723824265</v>
      </c>
      <c r="D19" s="3"/>
      <c r="E19" s="3"/>
      <c r="F19" s="3"/>
      <c r="G19" s="3"/>
      <c r="H19" s="5">
        <v>15177715.756318774</v>
      </c>
    </row>
    <row r="20" spans="3:8" ht="15.75" x14ac:dyDescent="0.25">
      <c r="C20" s="3">
        <v>0.98219836325467047</v>
      </c>
      <c r="D20" s="3"/>
      <c r="E20" s="3"/>
      <c r="F20" s="3"/>
      <c r="G20" s="3"/>
      <c r="H20" s="5">
        <v>15232040.135016518</v>
      </c>
    </row>
    <row r="21" spans="3:8" ht="15.75" x14ac:dyDescent="0.25">
      <c r="C21" s="3">
        <v>0.96103518189943338</v>
      </c>
      <c r="D21" s="3"/>
      <c r="E21" s="3"/>
      <c r="F21" s="3"/>
      <c r="G21" s="3"/>
      <c r="H21" s="5">
        <v>15159607.630086193</v>
      </c>
    </row>
  </sheetData>
  <pageMargins left="0.7" right="0.7" top="0.75" bottom="0.75" header="0.3" footer="0.3"/>
  <ignoredErrors>
    <ignoredError sqref="H4 E1 F1:G1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2025-05-21T23:14:27Z</dcterms:modified>
</cp:coreProperties>
</file>