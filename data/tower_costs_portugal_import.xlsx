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rade_plots\data\"/>
    </mc:Choice>
  </mc:AlternateContent>
  <xr:revisionPtr revIDLastSave="0" documentId="13_ncr:1_{1C223DFA-27C2-4BAD-9E0C-C4892DBC8084}" xr6:coauthVersionLast="47" xr6:coauthVersionMax="47" xr10:uidLastSave="{00000000-0000-0000-0000-000000000000}"/>
  <bookViews>
    <workbookView xWindow="-120" yWindow="16080" windowWidth="29040" windowHeight="15720" activeTab="1" xr2:uid="{E194376A-60D2-4E43-93D0-D5BA1364A651}"/>
  </bookViews>
  <sheets>
    <sheet name="Sheet1" sheetId="2" r:id="rId1"/>
    <sheet name="All option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3" l="1" a="1"/>
  <c r="D12" i="3" s="1"/>
  <c r="E7" i="3"/>
  <c r="F7" i="3"/>
  <c r="G7" i="3"/>
  <c r="H7" i="3"/>
  <c r="I7" i="3"/>
  <c r="J7" i="3"/>
  <c r="K7" i="3"/>
  <c r="L7" i="3"/>
  <c r="M7" i="3"/>
  <c r="M4" i="3"/>
  <c r="F4" i="3"/>
  <c r="G4" i="3" s="1"/>
  <c r="H4" i="3" s="1"/>
  <c r="I4" i="3" s="1"/>
  <c r="J4" i="3" s="1"/>
  <c r="K4" i="3" s="1"/>
  <c r="L4" i="3" s="1"/>
  <c r="E4" i="3"/>
  <c r="E3" i="3"/>
  <c r="F3" i="3"/>
  <c r="G3" i="3"/>
  <c r="H3" i="3"/>
  <c r="I3" i="3"/>
  <c r="J3" i="3"/>
  <c r="K3" i="3"/>
  <c r="L3" i="3"/>
  <c r="M3" i="3"/>
  <c r="C8" i="3" a="1"/>
  <c r="C8" i="3" s="1"/>
  <c r="D3" i="3"/>
  <c r="F2" i="3"/>
  <c r="G2" i="3" s="1"/>
  <c r="H2" i="3" s="1"/>
  <c r="I2" i="3" s="1"/>
  <c r="J2" i="3" s="1"/>
  <c r="K2" i="3" s="1"/>
  <c r="L2" i="3" s="1"/>
  <c r="M2" i="3" s="1"/>
  <c r="E2" i="3"/>
  <c r="D1" i="3"/>
  <c r="E1" i="3"/>
  <c r="F1" i="3"/>
  <c r="G1" i="3"/>
  <c r="H1" i="3"/>
  <c r="I1" i="3"/>
  <c r="J1" i="3"/>
  <c r="K1" i="3"/>
  <c r="L1" i="3"/>
  <c r="M1" i="3"/>
  <c r="C1" i="3"/>
  <c r="B4" i="3"/>
  <c r="C4" i="3" s="1"/>
  <c r="D4" i="3" s="1"/>
  <c r="B3" i="3"/>
  <c r="C3" i="3" s="1"/>
  <c r="B2" i="3"/>
  <c r="C2" i="3" s="1"/>
  <c r="B2" i="2"/>
  <c r="D2" i="3" l="1"/>
  <c r="D7" i="3" s="1"/>
  <c r="C7" i="3"/>
  <c r="B4" i="2"/>
  <c r="C4" i="2" s="1"/>
  <c r="D4" i="2" s="1"/>
  <c r="B3" i="2"/>
  <c r="C3" i="2" s="1"/>
  <c r="D3" i="2" s="1"/>
  <c r="C2" i="2"/>
  <c r="C7" i="2" l="1"/>
  <c r="D2" i="2"/>
  <c r="D7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<sst xmlns="http://schemas.openxmlformats.org/spreadsheetml/2006/main" count="29" uniqueCount="21">
  <si>
    <t>component costs</t>
  </si>
  <si>
    <t>Other</t>
  </si>
  <si>
    <t>Labor</t>
  </si>
  <si>
    <t>Raw materials</t>
  </si>
  <si>
    <t>Factory amortization</t>
  </si>
  <si>
    <t>Total</t>
  </si>
  <si>
    <t>Landed cost - Import</t>
  </si>
  <si>
    <t>Production cost - Import</t>
  </si>
  <si>
    <t>Transportation</t>
  </si>
  <si>
    <t>Production cost - Great Lakes</t>
  </si>
  <si>
    <t>Import</t>
  </si>
  <si>
    <t>US Average</t>
  </si>
  <si>
    <t>GL Average</t>
  </si>
  <si>
    <t>MN</t>
  </si>
  <si>
    <t>WI</t>
  </si>
  <si>
    <t>IL</t>
  </si>
  <si>
    <t>IN</t>
  </si>
  <si>
    <t>MI</t>
  </si>
  <si>
    <t>OH</t>
  </si>
  <si>
    <t>PA</t>
  </si>
  <si>
    <t>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</si>
</sst>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7" formatCode="_(* #,##0_);_(* \(#,##0\);_(* &quot;-&quot;??_);_(@_)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44" fontId="18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">
    <xf numFmtId="0" fontId="0" fillId="0" borderId="0" xfId="0"/>
    <xf numFmtId="1" fontId="0" fillId="0" borderId="0" xfId="1" applyNumberFormat="1" applyFont="1"/>
    <xf numFmtId="1" fontId="0" fillId="0" borderId="0" xfId="0" applyNumberFormat="1"/>
    <xf numFmtId="0" fontId="18" fillId="0" borderId="0" xfId="43"/>
    <xf numFmtId="2" fontId="18" fillId="0" borderId="0" xfId="43" applyNumberFormat="1"/>
    <xf numFmtId="167" fontId="0" fillId="0" borderId="0" xfId="45" applyNumberFormat="1" applyFont="1"/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45" builtinId="3"/>
    <cellStyle name="Currency 2" xfId="44" xr:uid="{3A4B0E27-D947-4D7A-B51E-17B705417C9E}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3" xr:uid="{27F5D012-193B-4DC1-8345-CEB7ACE962AB}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A60D5-6384-4E20-9FB9-47B01C5A146D}">
  <dimension ref="A1:E8"/>
  <sheetViews>
    <sheetView workbookViewId="0">
      <selection sqref="A1:D7"/>
    </sheetView>
  </sheetViews>
  <sheetFormatPr defaultRowHeight="15" x14ac:dyDescent="0.25"/>
  <cols>
    <col min="1" max="1" width="46.28515625" bestFit="1" customWidth="1"/>
    <col min="2" max="2" width="19.28515625" bestFit="1" customWidth="1"/>
    <col min="3" max="3" width="22.7109375" bestFit="1" customWidth="1"/>
    <col min="4" max="4" width="25.140625" bestFit="1" customWidth="1"/>
    <col min="5" max="5" width="21.85546875" bestFit="1" customWidth="1"/>
  </cols>
  <sheetData>
    <row r="1" spans="1:5" x14ac:dyDescent="0.25">
      <c r="A1" t="s">
        <v>0</v>
      </c>
      <c r="B1" t="s">
        <v>6</v>
      </c>
      <c r="C1" t="s">
        <v>7</v>
      </c>
      <c r="D1" t="s">
        <v>9</v>
      </c>
    </row>
    <row r="2" spans="1:5" x14ac:dyDescent="0.25">
      <c r="A2" t="s">
        <v>1</v>
      </c>
      <c r="B2" s="2">
        <f>(B$7-B$6-B$5)*0.08</f>
        <v>187624.90416621123</v>
      </c>
      <c r="C2" s="2">
        <f>B2</f>
        <v>187624.90416621123</v>
      </c>
      <c r="D2" s="2">
        <f>C2</f>
        <v>187624.90416621123</v>
      </c>
      <c r="E2" s="2"/>
    </row>
    <row r="3" spans="1:5" x14ac:dyDescent="0.25">
      <c r="A3" t="s">
        <v>2</v>
      </c>
      <c r="B3" s="2">
        <f>(B$7-B$6-B$5)*0.22</f>
        <v>515968.48645708087</v>
      </c>
      <c r="C3" s="2">
        <f t="shared" ref="C3:C4" si="0">B3</f>
        <v>515968.48645708087</v>
      </c>
      <c r="D3" s="2">
        <f>C3*2.35038084874864</f>
        <v>1212722.4491265449</v>
      </c>
      <c r="E3" s="2"/>
    </row>
    <row r="4" spans="1:5" x14ac:dyDescent="0.25">
      <c r="A4" t="s">
        <v>3</v>
      </c>
      <c r="B4" s="2">
        <f>(B$7-B$6-B$5)*0.7</f>
        <v>1641717.9114543481</v>
      </c>
      <c r="C4" s="2">
        <f t="shared" si="0"/>
        <v>1641717.9114543481</v>
      </c>
      <c r="D4" s="2">
        <f>C4*1.82001516775439</f>
        <v>2987951.5000209725</v>
      </c>
      <c r="E4" s="2"/>
    </row>
    <row r="5" spans="1:5" x14ac:dyDescent="0.25">
      <c r="A5" t="s">
        <v>4</v>
      </c>
      <c r="B5" s="2">
        <v>141432.6979223598</v>
      </c>
      <c r="C5" s="2">
        <v>0</v>
      </c>
      <c r="D5" s="2">
        <v>0</v>
      </c>
      <c r="E5" s="2"/>
    </row>
    <row r="6" spans="1:5" x14ac:dyDescent="0.25">
      <c r="A6" t="s">
        <v>8</v>
      </c>
      <c r="B6" s="2">
        <v>723324</v>
      </c>
      <c r="C6" s="2">
        <v>0</v>
      </c>
      <c r="D6" s="2">
        <v>0</v>
      </c>
      <c r="E6" s="2"/>
    </row>
    <row r="7" spans="1:5" x14ac:dyDescent="0.25">
      <c r="A7" t="s">
        <v>5</v>
      </c>
      <c r="B7" s="1">
        <v>3210068</v>
      </c>
      <c r="C7" s="2">
        <f>SUM(C2:C6)</f>
        <v>2345311.3020776403</v>
      </c>
      <c r="D7" s="2">
        <f>SUM(D2:D6)</f>
        <v>4388298.8533137282</v>
      </c>
      <c r="E7" s="2"/>
    </row>
    <row r="8" spans="1:5" x14ac:dyDescent="0.25">
      <c r="B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E7728-E507-4359-8F52-C485FA2258D5}">
  <dimension ref="A1:M22"/>
  <sheetViews>
    <sheetView tabSelected="1" zoomScale="85" zoomScaleNormal="85" workbookViewId="0">
      <selection activeCell="C1" sqref="C1"/>
    </sheetView>
  </sheetViews>
  <sheetFormatPr defaultRowHeight="15" x14ac:dyDescent="0.25"/>
  <cols>
    <col min="1" max="1" width="19.42578125" bestFit="1" customWidth="1"/>
    <col min="2" max="2" width="19.28515625" bestFit="1" customWidth="1"/>
    <col min="3" max="3" width="22.7109375" bestFit="1" customWidth="1"/>
    <col min="4" max="4" width="26.5703125" bestFit="1" customWidth="1"/>
    <col min="5" max="5" width="26.42578125" bestFit="1" customWidth="1"/>
    <col min="6" max="6" width="19.7109375" bestFit="1" customWidth="1"/>
    <col min="7" max="7" width="19" bestFit="1" customWidth="1"/>
    <col min="8" max="8" width="18.140625" bestFit="1" customWidth="1"/>
    <col min="9" max="9" width="18.7109375" bestFit="1" customWidth="1"/>
    <col min="10" max="10" width="18.85546875" bestFit="1" customWidth="1"/>
    <col min="11" max="11" width="19.42578125" bestFit="1" customWidth="1"/>
    <col min="12" max="12" width="19" bestFit="1" customWidth="1"/>
    <col min="13" max="13" width="19.140625" bestFit="1" customWidth="1"/>
  </cols>
  <sheetData>
    <row r="1" spans="1:13" x14ac:dyDescent="0.25">
      <c r="A1" t="s">
        <v>0</v>
      </c>
      <c r="B1" t="s">
        <v>6</v>
      </c>
      <c r="C1" t="str">
        <f>_xlfn.CONCAT("Production cost - ",C9)</f>
        <v>Production cost - Import</v>
      </c>
      <c r="D1" t="str">
        <f t="shared" ref="D1:M1" si="0">_xlfn.CONCAT("Production cost - ",D9)</f>
        <v>Production cost - US Average</v>
      </c>
      <c r="E1" t="str">
        <f t="shared" si="0"/>
        <v>Production cost - GL Average</v>
      </c>
      <c r="F1" t="str">
        <f t="shared" si="0"/>
        <v>Production cost - MN</v>
      </c>
      <c r="G1" t="str">
        <f t="shared" si="0"/>
        <v>Production cost - WI</v>
      </c>
      <c r="H1" t="str">
        <f t="shared" si="0"/>
        <v>Production cost - IL</v>
      </c>
      <c r="I1" t="str">
        <f t="shared" si="0"/>
        <v>Production cost - IN</v>
      </c>
      <c r="J1" t="str">
        <f t="shared" si="0"/>
        <v>Production cost - MI</v>
      </c>
      <c r="K1" t="str">
        <f t="shared" si="0"/>
        <v>Production cost - OH</v>
      </c>
      <c r="L1" t="str">
        <f t="shared" si="0"/>
        <v>Production cost - PA</v>
      </c>
      <c r="M1" t="str">
        <f t="shared" si="0"/>
        <v>Production cost - NY</v>
      </c>
    </row>
    <row r="2" spans="1:13" x14ac:dyDescent="0.25">
      <c r="A2" t="s">
        <v>1</v>
      </c>
      <c r="B2" s="2">
        <f>(B$7-B$6-B$5)*0.08</f>
        <v>187624.90416621123</v>
      </c>
      <c r="C2" s="2">
        <f>B2</f>
        <v>187624.90416621123</v>
      </c>
      <c r="D2" s="2">
        <f>C2</f>
        <v>187624.90416621123</v>
      </c>
      <c r="E2" s="2">
        <f>D2</f>
        <v>187624.90416621123</v>
      </c>
      <c r="F2" s="2">
        <f t="shared" ref="F2:M2" si="1">E2</f>
        <v>187624.90416621123</v>
      </c>
      <c r="G2" s="2">
        <f t="shared" si="1"/>
        <v>187624.90416621123</v>
      </c>
      <c r="H2" s="2">
        <f t="shared" si="1"/>
        <v>187624.90416621123</v>
      </c>
      <c r="I2" s="2">
        <f t="shared" si="1"/>
        <v>187624.90416621123</v>
      </c>
      <c r="J2" s="2">
        <f t="shared" si="1"/>
        <v>187624.90416621123</v>
      </c>
      <c r="K2" s="2">
        <f t="shared" si="1"/>
        <v>187624.90416621123</v>
      </c>
      <c r="L2" s="2">
        <f t="shared" si="1"/>
        <v>187624.90416621123</v>
      </c>
      <c r="M2" s="2">
        <f t="shared" si="1"/>
        <v>187624.90416621123</v>
      </c>
    </row>
    <row r="3" spans="1:13" x14ac:dyDescent="0.25">
      <c r="A3" t="s">
        <v>2</v>
      </c>
      <c r="B3" s="2">
        <f>(B$7-B$6-B$5)*0.22</f>
        <v>515968.48645708087</v>
      </c>
      <c r="C3" s="2">
        <f t="shared" ref="C3:C4" si="2">B3</f>
        <v>515968.48645708087</v>
      </c>
      <c r="D3" s="2">
        <f>$C$3*D8</f>
        <v>1210195.9440241978</v>
      </c>
      <c r="E3" s="2">
        <f t="shared" ref="E3:M3" si="3">$C$3*E8</f>
        <v>1212722.4491265449</v>
      </c>
      <c r="F3" s="2">
        <f t="shared" si="3"/>
        <v>1302932.7766440061</v>
      </c>
      <c r="G3" s="2">
        <f t="shared" si="3"/>
        <v>1182115.3737188347</v>
      </c>
      <c r="H3" s="2">
        <f t="shared" si="3"/>
        <v>1160320.8618186077</v>
      </c>
      <c r="I3" s="2">
        <f t="shared" si="3"/>
        <v>1164111.2117142994</v>
      </c>
      <c r="J3" s="2">
        <f t="shared" si="3"/>
        <v>1244656.146997747</v>
      </c>
      <c r="K3" s="2">
        <f t="shared" si="3"/>
        <v>1211490.585410445</v>
      </c>
      <c r="L3" s="2">
        <f t="shared" si="3"/>
        <v>1231389.9223628261</v>
      </c>
      <c r="M3" s="2">
        <f t="shared" si="3"/>
        <v>1204857.4730929846</v>
      </c>
    </row>
    <row r="4" spans="1:13" x14ac:dyDescent="0.25">
      <c r="A4" t="s">
        <v>3</v>
      </c>
      <c r="B4" s="2">
        <f>(B$7-B$6-B$5)*0.7</f>
        <v>1641717.9114543481</v>
      </c>
      <c r="C4" s="2">
        <f t="shared" si="2"/>
        <v>1641717.9114543481</v>
      </c>
      <c r="D4" s="2">
        <f>C4*1.82001516775439</f>
        <v>2987951.5000209725</v>
      </c>
      <c r="E4" s="2">
        <f>D4</f>
        <v>2987951.5000209725</v>
      </c>
      <c r="F4" s="2">
        <f t="shared" ref="F4:M4" si="4">E4</f>
        <v>2987951.5000209725</v>
      </c>
      <c r="G4" s="2">
        <f t="shared" si="4"/>
        <v>2987951.5000209725</v>
      </c>
      <c r="H4" s="2">
        <f t="shared" si="4"/>
        <v>2987951.5000209725</v>
      </c>
      <c r="I4" s="2">
        <f t="shared" si="4"/>
        <v>2987951.5000209725</v>
      </c>
      <c r="J4" s="2">
        <f t="shared" si="4"/>
        <v>2987951.5000209725</v>
      </c>
      <c r="K4" s="2">
        <f t="shared" si="4"/>
        <v>2987951.5000209725</v>
      </c>
      <c r="L4" s="2">
        <f t="shared" si="4"/>
        <v>2987951.5000209725</v>
      </c>
      <c r="M4" s="2">
        <f t="shared" si="4"/>
        <v>2987951.5000209725</v>
      </c>
    </row>
    <row r="5" spans="1:13" x14ac:dyDescent="0.25">
      <c r="A5" t="s">
        <v>4</v>
      </c>
      <c r="B5" s="2">
        <v>141432.6979223598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</row>
    <row r="6" spans="1:13" x14ac:dyDescent="0.25">
      <c r="A6" t="s">
        <v>8</v>
      </c>
      <c r="B6" s="2">
        <v>723324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</row>
    <row r="7" spans="1:13" x14ac:dyDescent="0.25">
      <c r="A7" t="s">
        <v>5</v>
      </c>
      <c r="B7" s="1">
        <v>3210068</v>
      </c>
      <c r="C7" s="2">
        <f>SUM(C2:C6)</f>
        <v>2345311.3020776403</v>
      </c>
      <c r="D7" s="2">
        <f>SUM(D2:D6)</f>
        <v>4385772.3482113816</v>
      </c>
      <c r="E7" s="2">
        <f t="shared" ref="E7:M7" si="5">SUM(E2:E6)</f>
        <v>4388298.8533137282</v>
      </c>
      <c r="F7" s="2">
        <f t="shared" si="5"/>
        <v>4478509.1808311902</v>
      </c>
      <c r="G7" s="2">
        <f t="shared" si="5"/>
        <v>4357691.7779060183</v>
      </c>
      <c r="H7" s="2">
        <f t="shared" si="5"/>
        <v>4335897.2660057917</v>
      </c>
      <c r="I7" s="2">
        <f t="shared" si="5"/>
        <v>4339687.6159014832</v>
      </c>
      <c r="J7" s="2">
        <f t="shared" si="5"/>
        <v>4420232.5511849308</v>
      </c>
      <c r="K7" s="2">
        <f t="shared" si="5"/>
        <v>4387066.9895976288</v>
      </c>
      <c r="L7" s="2">
        <f t="shared" si="5"/>
        <v>4406966.3265500097</v>
      </c>
      <c r="M7" s="2">
        <f t="shared" si="5"/>
        <v>4380433.8772801682</v>
      </c>
    </row>
    <row r="8" spans="1:13" x14ac:dyDescent="0.25">
      <c r="C8" cm="1">
        <f t="array" ref="C8:M8">TRANSPOSE(C12:C22)</f>
        <v>1</v>
      </c>
      <c r="D8">
        <v>2.3454842219804135</v>
      </c>
      <c r="E8">
        <v>2.3503808487486402</v>
      </c>
      <c r="F8">
        <v>2.5252177426389903</v>
      </c>
      <c r="G8">
        <v>2.2910611883215566</v>
      </c>
      <c r="H8">
        <v>2.248821182444686</v>
      </c>
      <c r="I8">
        <v>2.2561672704232727</v>
      </c>
      <c r="J8">
        <v>2.4122716399682282</v>
      </c>
      <c r="K8">
        <v>2.3479933701555993</v>
      </c>
      <c r="L8">
        <v>2.3865603320431763</v>
      </c>
      <c r="M8">
        <v>2.3351377161930738</v>
      </c>
    </row>
    <row r="9" spans="1:13" x14ac:dyDescent="0.25">
      <c r="C9" t="s">
        <v>10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  <c r="I9" t="s">
        <v>16</v>
      </c>
      <c r="J9" t="s">
        <v>17</v>
      </c>
      <c r="K9" t="s">
        <v>18</v>
      </c>
      <c r="L9" t="s">
        <v>19</v>
      </c>
      <c r="M9" t="s">
        <v>20</v>
      </c>
    </row>
    <row r="12" spans="1:13" ht="15.75" x14ac:dyDescent="0.25">
      <c r="C12" s="3">
        <v>1</v>
      </c>
      <c r="D12" s="5" cm="1">
        <f t="array" ref="D12:D22">TRANSPOSE(C7:M7)</f>
        <v>2345311.3020776403</v>
      </c>
    </row>
    <row r="13" spans="1:13" ht="15.75" x14ac:dyDescent="0.25">
      <c r="C13" s="4">
        <v>2.3454842219804135</v>
      </c>
      <c r="D13" s="5">
        <v>4385772.3482113816</v>
      </c>
    </row>
    <row r="14" spans="1:13" ht="15.75" x14ac:dyDescent="0.25">
      <c r="C14" s="4">
        <v>2.3503808487486402</v>
      </c>
      <c r="D14" s="5">
        <v>4388298.8533137282</v>
      </c>
    </row>
    <row r="15" spans="1:13" ht="15.75" x14ac:dyDescent="0.25">
      <c r="C15" s="4">
        <v>2.5252177426389903</v>
      </c>
      <c r="D15" s="5">
        <v>4478509.1808311902</v>
      </c>
    </row>
    <row r="16" spans="1:13" ht="15.75" x14ac:dyDescent="0.25">
      <c r="C16" s="4">
        <v>2.2910611883215566</v>
      </c>
      <c r="D16" s="5">
        <v>4357691.7779060183</v>
      </c>
    </row>
    <row r="17" spans="3:4" ht="15.75" x14ac:dyDescent="0.25">
      <c r="C17" s="4">
        <v>2.248821182444686</v>
      </c>
      <c r="D17" s="5">
        <v>4335897.2660057917</v>
      </c>
    </row>
    <row r="18" spans="3:4" ht="15.75" x14ac:dyDescent="0.25">
      <c r="C18" s="4">
        <v>2.2561672704232727</v>
      </c>
      <c r="D18" s="5">
        <v>4339687.6159014832</v>
      </c>
    </row>
    <row r="19" spans="3:4" ht="15.75" x14ac:dyDescent="0.25">
      <c r="C19" s="4">
        <v>2.4122716399682282</v>
      </c>
      <c r="D19" s="5">
        <v>4420232.5511849308</v>
      </c>
    </row>
    <row r="20" spans="3:4" ht="15.75" x14ac:dyDescent="0.25">
      <c r="C20" s="4">
        <v>2.3479933701555993</v>
      </c>
      <c r="D20" s="5">
        <v>4387066.9895976288</v>
      </c>
    </row>
    <row r="21" spans="3:4" ht="15.75" x14ac:dyDescent="0.25">
      <c r="C21" s="4">
        <v>2.3865603320431763</v>
      </c>
      <c r="D21" s="5">
        <v>4406966.3265500097</v>
      </c>
    </row>
    <row r="22" spans="3:4" ht="15.75" x14ac:dyDescent="0.25">
      <c r="C22" s="4">
        <v>2.3351377161930738</v>
      </c>
      <c r="D22" s="5">
        <v>4380433.8772801682</v>
      </c>
    </row>
  </sheetData>
  <pageMargins left="0.7" right="0.7" top="0.75" bottom="0.75" header="0.3" footer="0.3"/>
  <ignoredErrors>
    <ignoredError sqref="E3:M3 D4" formula="1"/>
  </ignoredErrors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All option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Mulas Hernando, Daniel</cp:lastModifiedBy>
  <dcterms:created xsi:type="dcterms:W3CDTF">2025-03-18T21:13:18Z</dcterms:created>
  <dcterms:modified xsi:type="dcterms:W3CDTF">2025-03-27T03:46:03Z</dcterms:modified>
</cp:coreProperties>
</file>