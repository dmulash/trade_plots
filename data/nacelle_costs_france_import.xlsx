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3CDD82CE-1BAF-4928-8529-27B9674B2791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  <c r="E1" i="3"/>
  <c r="F1" i="3" l="1"/>
  <c r="G1" i="3"/>
  <c r="H1" i="3"/>
  <c r="I1" i="3"/>
  <c r="J1" i="3"/>
  <c r="K1" i="3"/>
  <c r="L1" i="3"/>
  <c r="M1" i="3"/>
  <c r="N1" i="3"/>
  <c r="O1" i="3"/>
  <c r="C1" i="3"/>
  <c r="B4" i="3"/>
  <c r="C4" i="3" s="1"/>
  <c r="B3" i="3"/>
  <c r="C3" i="3" s="1"/>
  <c r="B2" i="3"/>
  <c r="C2" i="3" s="1"/>
  <c r="D2" i="3" s="1"/>
  <c r="B4" i="2"/>
  <c r="C4" i="2" s="1"/>
  <c r="D4" i="2" s="1"/>
  <c r="B3" i="2"/>
  <c r="C3" i="2" s="1"/>
  <c r="D3" i="2" s="1"/>
  <c r="B2" i="2"/>
  <c r="C2" i="2" s="1"/>
  <c r="C7" i="2" s="1"/>
  <c r="E2" i="3" l="1"/>
  <c r="D3" i="3"/>
  <c r="E3" i="3"/>
  <c r="E4" i="3"/>
  <c r="D4" i="3"/>
  <c r="F4" i="3"/>
  <c r="G4" i="3" s="1"/>
  <c r="H4" i="3" s="1"/>
  <c r="I4" i="3" s="1"/>
  <c r="J4" i="3" s="1"/>
  <c r="K4" i="3" s="1"/>
  <c r="L4" i="3" s="1"/>
  <c r="M4" i="3" s="1"/>
  <c r="N4" i="3" s="1"/>
  <c r="O4" i="3" s="1"/>
  <c r="G3" i="3"/>
  <c r="O3" i="3"/>
  <c r="H3" i="3"/>
  <c r="F3" i="3"/>
  <c r="I3" i="3"/>
  <c r="K3" i="3"/>
  <c r="M3" i="3"/>
  <c r="J3" i="3"/>
  <c r="L3" i="3"/>
  <c r="N3" i="3"/>
  <c r="F2" i="3"/>
  <c r="C7" i="3"/>
  <c r="D2" i="2"/>
  <c r="D7" i="3" l="1"/>
  <c r="E11" i="3"/>
  <c r="E7" i="3"/>
  <c r="F7" i="3"/>
  <c r="G2" i="3"/>
  <c r="D7" i="2"/>
  <c r="H2" i="3" l="1"/>
  <c r="G7" i="3"/>
  <c r="I2" i="3" l="1"/>
  <c r="H7" i="3"/>
  <c r="J2" i="3" l="1"/>
  <c r="I7" i="3"/>
  <c r="K2" i="3" l="1"/>
  <c r="J7" i="3"/>
  <c r="L2" i="3" l="1"/>
  <c r="K7" i="3"/>
  <c r="M2" i="3" l="1"/>
  <c r="L7" i="3"/>
  <c r="N2" i="3" l="1"/>
  <c r="M7" i="3"/>
  <c r="O2" i="3" l="1"/>
  <c r="O7" i="3" s="1"/>
  <c r="N7" i="3"/>
</calcChain>
</file>

<file path=xl/sharedStrings.xml><?xml version="1.0" encoding="utf-8"?>
<sst xmlns="http://schemas.openxmlformats.org/spreadsheetml/2006/main" count="33" uniqueCount="23">
  <si>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</si>
  <si>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</si>
  <si>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</si>
  <si>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</si>
  <si>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</si>
  <si>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</si>
  <si>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</si>
  <si>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</si>
  <si>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</si>
  <si>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</si>
  <si>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</si>
  <si>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</si>
  <si>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</si>
  <si>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</si>
  <si>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</si>
  <si>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</si>
  <si>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</si>
  <si>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</si>
  <si>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</si>
  <si>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</si>
  <si>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</si>
  <si>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US East Coast</t>
  </si>
  <si>
    <t>Albany,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</si>
</sst>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0" fontId="18" fillId="0" borderId="0" xfId="43"/>
    <xf numFmtId="2" fontId="18" fillId="0" borderId="0" xfId="43" applyNumberFormat="1"/>
    <xf numFmtId="164" fontId="0" fillId="0" borderId="0" xfId="45" applyNumberFormat="1" applyFont="1"/>
    <xf numFmtId="1" fontId="0" fillId="33" borderId="0" xfId="0" applyNumberFormat="1" applyFill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7"/>
  <sheetViews>
    <sheetView workbookViewId="0">
      <selection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(B$7-B$6-B$5)*0.12</f>
        <v>1981202.3306636391</v>
      </c>
      <c r="C2" s="2">
        <f>B2</f>
        <v>1981202.3306636391</v>
      </c>
      <c r="D2" s="2">
        <f>C2</f>
        <v>1981202.3306636391</v>
      </c>
      <c r="E2" s="2"/>
    </row>
    <row r="3" spans="1:5" x14ac:dyDescent="0.25">
      <c r="A3" t="s">
        <v>2</v>
      </c>
      <c r="B3" s="2">
        <f>(B$7-B$6-B$5)*0.23</f>
        <v>3797304.4671053085</v>
      </c>
      <c r="C3" s="2">
        <f t="shared" ref="C3:C4" si="0">B3</f>
        <v>3797304.4671053085</v>
      </c>
      <c r="D3" s="2">
        <f>C3*0.946745562130178</f>
        <v>3595081.1522890516</v>
      </c>
      <c r="E3" s="2"/>
    </row>
    <row r="4" spans="1:5" x14ac:dyDescent="0.25">
      <c r="A4" t="s">
        <v>3</v>
      </c>
      <c r="B4" s="2">
        <f>(B$7-B$6-B$5)*0.65</f>
        <v>10731512.624428047</v>
      </c>
      <c r="C4" s="2">
        <f t="shared" si="0"/>
        <v>10731512.624428047</v>
      </c>
      <c r="D4" s="2">
        <f>C4*1.80910228893913</f>
        <v>19414404.052631948</v>
      </c>
      <c r="E4" s="2"/>
    </row>
    <row r="5" spans="1:5" x14ac:dyDescent="0.25">
      <c r="A5" t="s">
        <v>4</v>
      </c>
      <c r="B5" s="2">
        <v>581558.57780300616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513920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17605498</v>
      </c>
      <c r="C7" s="2">
        <f>SUM(C2:C6)</f>
        <v>16510019.422196995</v>
      </c>
      <c r="D7" s="2">
        <f>SUM(D2:D6)</f>
        <v>24990687.53558464</v>
      </c>
      <c r="E7" s="2"/>
    </row>
  </sheetData>
  <pageMargins left="0.7" right="0.7" top="0.75" bottom="0.75" header="0.3" footer="0.3"/>
  <ignoredErrors>
    <ignoredError sqref="D3:D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7EE0-3CE5-4074-AE7B-7D34F48B67F9}">
  <dimension ref="A1:P22"/>
  <sheetViews>
    <sheetView tabSelected="1" zoomScaleNormal="100" workbookViewId="0">
      <selection activeCell="E11" sqref="E11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5" width="28.85546875" bestFit="1" customWidth="1"/>
    <col min="6" max="6" width="27.140625" bestFit="1" customWidth="1"/>
  </cols>
  <sheetData>
    <row r="1" spans="1:16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 t="shared" ref="D1:E1" si="0">_xlfn.CONCAT("Production cost - ",D9)</f>
        <v>Production cost - US East Coast</v>
      </c>
      <c r="E1" t="str">
        <f t="shared" si="0"/>
        <v>Production cost - US East Coast</v>
      </c>
      <c r="F1" t="str">
        <f t="shared" ref="F1:O1" si="1">_xlfn.CONCAT("Production cost - ",F9)</f>
        <v>Production cost - US Average</v>
      </c>
      <c r="G1" t="str">
        <f t="shared" si="1"/>
        <v>Production cost - GL Average</v>
      </c>
      <c r="H1" t="str">
        <f t="shared" si="1"/>
        <v>Production cost - MN</v>
      </c>
      <c r="I1" t="str">
        <f t="shared" si="1"/>
        <v>Production cost - WI</v>
      </c>
      <c r="J1" t="str">
        <f t="shared" si="1"/>
        <v>Production cost - IL</v>
      </c>
      <c r="K1" t="str">
        <f t="shared" si="1"/>
        <v>Production cost - IN</v>
      </c>
      <c r="L1" t="str">
        <f t="shared" si="1"/>
        <v>Production cost - MI</v>
      </c>
      <c r="M1" t="str">
        <f t="shared" si="1"/>
        <v>Production cost - OH</v>
      </c>
      <c r="N1" t="str">
        <f t="shared" si="1"/>
        <v>Production cost - PA</v>
      </c>
      <c r="O1" t="str">
        <f t="shared" si="1"/>
        <v>Production cost - NY</v>
      </c>
    </row>
    <row r="2" spans="1:16" x14ac:dyDescent="0.25">
      <c r="A2" t="s">
        <v>1</v>
      </c>
      <c r="B2" s="2">
        <f>(B$7-B$6-B$5)*0.12</f>
        <v>2029281.8635946787</v>
      </c>
      <c r="C2" s="2">
        <f>B2</f>
        <v>2029281.8635946787</v>
      </c>
      <c r="D2" s="2">
        <f t="shared" ref="D2:E2" si="2">C2</f>
        <v>2029281.8635946787</v>
      </c>
      <c r="E2" s="2">
        <f t="shared" si="2"/>
        <v>2029281.8635946787</v>
      </c>
      <c r="F2" s="2">
        <f>C2</f>
        <v>2029281.8635946787</v>
      </c>
      <c r="G2" s="2">
        <f>F2</f>
        <v>2029281.8635946787</v>
      </c>
      <c r="H2" s="2">
        <f t="shared" ref="H2:O2" si="3">G2</f>
        <v>2029281.8635946787</v>
      </c>
      <c r="I2" s="2">
        <f t="shared" si="3"/>
        <v>2029281.8635946787</v>
      </c>
      <c r="J2" s="2">
        <f t="shared" si="3"/>
        <v>2029281.8635946787</v>
      </c>
      <c r="K2" s="2">
        <f t="shared" si="3"/>
        <v>2029281.8635946787</v>
      </c>
      <c r="L2" s="2">
        <f t="shared" si="3"/>
        <v>2029281.8635946787</v>
      </c>
      <c r="M2" s="2">
        <f t="shared" si="3"/>
        <v>2029281.8635946787</v>
      </c>
      <c r="N2" s="2">
        <f t="shared" si="3"/>
        <v>2029281.8635946787</v>
      </c>
      <c r="O2" s="2">
        <f t="shared" si="3"/>
        <v>2029281.8635946787</v>
      </c>
    </row>
    <row r="3" spans="1:16" x14ac:dyDescent="0.25">
      <c r="A3" t="s">
        <v>2</v>
      </c>
      <c r="B3" s="2">
        <f>(B$7-B$6-B$5)*0.23</f>
        <v>3889456.9052231344</v>
      </c>
      <c r="C3" s="2">
        <f t="shared" ref="C3:C4" si="4">B3</f>
        <v>3889456.9052231344</v>
      </c>
      <c r="D3" s="2">
        <f t="shared" ref="D3:E3" si="5">$C$3*D8</f>
        <v>3658444.7495891759</v>
      </c>
      <c r="E3" s="2">
        <f t="shared" si="5"/>
        <v>3658444.7495891759</v>
      </c>
      <c r="F3" s="2">
        <f>$C$3*F8</f>
        <v>3674654.5514830006</v>
      </c>
      <c r="G3" s="2">
        <f t="shared" ref="G3:O3" si="6">$C$3*G8</f>
        <v>3682326.0641165772</v>
      </c>
      <c r="H3" s="2">
        <f t="shared" si="6"/>
        <v>3956241.8644790538</v>
      </c>
      <c r="I3" s="2">
        <f t="shared" si="6"/>
        <v>3589390.3461364498</v>
      </c>
      <c r="J3" s="2">
        <f t="shared" si="6"/>
        <v>3523213.209494255</v>
      </c>
      <c r="K3" s="2">
        <f t="shared" si="6"/>
        <v>3534722.2767363768</v>
      </c>
      <c r="L3" s="2">
        <f t="shared" si="6"/>
        <v>3779289.9556314452</v>
      </c>
      <c r="M3" s="2">
        <f t="shared" si="6"/>
        <v>3678585.6172628873</v>
      </c>
      <c r="N3" s="2">
        <f t="shared" si="6"/>
        <v>3739008.2202840219</v>
      </c>
      <c r="O3" s="2">
        <f t="shared" si="6"/>
        <v>3658444.7495891759</v>
      </c>
      <c r="P3" s="2"/>
    </row>
    <row r="4" spans="1:16" x14ac:dyDescent="0.25">
      <c r="A4" t="s">
        <v>3</v>
      </c>
      <c r="B4" s="2">
        <f>(B$7-B$6-B$5)*0.65</f>
        <v>10991943.427804511</v>
      </c>
      <c r="C4" s="2">
        <f t="shared" si="4"/>
        <v>10991943.427804511</v>
      </c>
      <c r="D4" s="2">
        <f>$C$4*1.20622259411537</f>
        <v>13258730.515855748</v>
      </c>
      <c r="E4" s="2">
        <f>$C$4*1.20622259411537</f>
        <v>13258730.515855748</v>
      </c>
      <c r="F4" s="2">
        <f>$C$4*1.80910228893913</f>
        <v>19885550.015130568</v>
      </c>
      <c r="G4" s="2">
        <f>F4</f>
        <v>19885550.015130568</v>
      </c>
      <c r="H4" s="2">
        <f t="shared" ref="H4:O4" si="7">G4</f>
        <v>19885550.015130568</v>
      </c>
      <c r="I4" s="2">
        <f t="shared" si="7"/>
        <v>19885550.015130568</v>
      </c>
      <c r="J4" s="2">
        <f t="shared" si="7"/>
        <v>19885550.015130568</v>
      </c>
      <c r="K4" s="2">
        <f t="shared" si="7"/>
        <v>19885550.015130568</v>
      </c>
      <c r="L4" s="2">
        <f t="shared" si="7"/>
        <v>19885550.015130568</v>
      </c>
      <c r="M4" s="2">
        <f t="shared" si="7"/>
        <v>19885550.015130568</v>
      </c>
      <c r="N4" s="2">
        <f t="shared" si="7"/>
        <v>19885550.015130568</v>
      </c>
      <c r="O4" s="2">
        <f t="shared" si="7"/>
        <v>19885550.015130568</v>
      </c>
    </row>
    <row r="5" spans="1:16" x14ac:dyDescent="0.25">
      <c r="A5" t="s">
        <v>4</v>
      </c>
      <c r="B5" s="6">
        <v>606380.04815139109</v>
      </c>
      <c r="C5" s="2">
        <v>0</v>
      </c>
      <c r="D5" s="2">
        <v>0</v>
      </c>
      <c r="E5" s="6">
        <v>821840.66429473273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6" x14ac:dyDescent="0.25">
      <c r="A6" t="s">
        <v>8</v>
      </c>
      <c r="B6" s="2">
        <v>88435.755226285954</v>
      </c>
      <c r="C6" s="2">
        <v>0</v>
      </c>
      <c r="D6" s="2">
        <v>0</v>
      </c>
      <c r="E6" s="2">
        <v>15596.398822222223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6" x14ac:dyDescent="0.25">
      <c r="A7" t="s">
        <v>5</v>
      </c>
      <c r="B7" s="1">
        <v>17605498</v>
      </c>
      <c r="C7" s="2">
        <f>SUM(C2:C6)</f>
        <v>16910682.196622323</v>
      </c>
      <c r="D7" s="2">
        <f t="shared" ref="D7:E7" si="8">SUM(D2:D6)</f>
        <v>18946457.1290396</v>
      </c>
      <c r="E7" s="2">
        <f t="shared" si="8"/>
        <v>19783894.192156557</v>
      </c>
      <c r="F7" s="2">
        <f>SUM(F2:F6)</f>
        <v>25589486.430208247</v>
      </c>
      <c r="G7" s="2">
        <f t="shared" ref="G7:O7" si="9">SUM(G2:G6)</f>
        <v>25597157.942841824</v>
      </c>
      <c r="H7" s="2">
        <f t="shared" si="9"/>
        <v>25871073.743204303</v>
      </c>
      <c r="I7" s="2">
        <f t="shared" si="9"/>
        <v>25504222.224861696</v>
      </c>
      <c r="J7" s="2">
        <f t="shared" si="9"/>
        <v>25438045.088219501</v>
      </c>
      <c r="K7" s="2">
        <f t="shared" si="9"/>
        <v>25449554.155461624</v>
      </c>
      <c r="L7" s="2">
        <f t="shared" si="9"/>
        <v>25694121.834356692</v>
      </c>
      <c r="M7" s="2">
        <f t="shared" si="9"/>
        <v>25593417.495988134</v>
      </c>
      <c r="N7" s="2">
        <f t="shared" si="9"/>
        <v>25653840.099009268</v>
      </c>
      <c r="O7" s="2">
        <f t="shared" si="9"/>
        <v>25573276.628314421</v>
      </c>
    </row>
    <row r="8" spans="1:16" x14ac:dyDescent="0.25">
      <c r="C8">
        <v>1</v>
      </c>
      <c r="D8">
        <v>0.94060554949876596</v>
      </c>
      <c r="E8">
        <v>0.94060554949876596</v>
      </c>
      <c r="F8">
        <v>0.94477317554240625</v>
      </c>
      <c r="G8">
        <v>0.94674556213017758</v>
      </c>
      <c r="H8">
        <v>1.0171707672519097</v>
      </c>
      <c r="I8">
        <v>0.92285129610673244</v>
      </c>
      <c r="J8">
        <v>0.90583680327270055</v>
      </c>
      <c r="K8">
        <v>0.90879584550470627</v>
      </c>
      <c r="L8">
        <v>0.97167549293482425</v>
      </c>
      <c r="M8">
        <v>0.94578387340477565</v>
      </c>
      <c r="N8">
        <v>0.96131884512280474</v>
      </c>
      <c r="O8">
        <v>0.94060554949876596</v>
      </c>
    </row>
    <row r="9" spans="1:16" x14ac:dyDescent="0.25">
      <c r="C9" t="s">
        <v>10</v>
      </c>
      <c r="D9" t="s">
        <v>21</v>
      </c>
      <c r="E9" t="s">
        <v>21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20</v>
      </c>
    </row>
    <row r="10" spans="1:16" x14ac:dyDescent="0.25">
      <c r="D10" t="s">
        <v>22</v>
      </c>
      <c r="E10" t="s">
        <v>22</v>
      </c>
    </row>
    <row r="11" spans="1:16" x14ac:dyDescent="0.25">
      <c r="E11" s="2">
        <f>SUM(E2:E4)</f>
        <v>18946457.1290396</v>
      </c>
    </row>
    <row r="12" spans="1:16" ht="15.75" x14ac:dyDescent="0.25">
      <c r="C12" s="3">
        <v>1</v>
      </c>
      <c r="D12" s="3"/>
      <c r="E12" s="3"/>
      <c r="F12" s="5">
        <v>16510019.422196995</v>
      </c>
    </row>
    <row r="13" spans="1:16" ht="15.75" x14ac:dyDescent="0.25">
      <c r="C13" s="4">
        <v>0.94477317554240625</v>
      </c>
      <c r="D13" s="4"/>
      <c r="E13" s="4"/>
      <c r="F13" s="5">
        <v>24983197.783184037</v>
      </c>
    </row>
    <row r="14" spans="1:16" ht="15.75" x14ac:dyDescent="0.25">
      <c r="C14" s="4">
        <v>0.94674556213017758</v>
      </c>
      <c r="D14" s="4"/>
      <c r="E14" s="4"/>
      <c r="F14" s="5">
        <v>24990687.535584636</v>
      </c>
    </row>
    <row r="15" spans="1:16" ht="15.75" x14ac:dyDescent="0.25">
      <c r="C15" s="4">
        <v>1.0171707672519097</v>
      </c>
      <c r="D15" s="4"/>
      <c r="E15" s="4"/>
      <c r="F15" s="5">
        <v>25258113.481590196</v>
      </c>
    </row>
    <row r="16" spans="1:16" ht="15.75" x14ac:dyDescent="0.25">
      <c r="C16" s="4">
        <v>0.92285129610673244</v>
      </c>
      <c r="D16" s="4"/>
      <c r="E16" s="4"/>
      <c r="F16" s="5">
        <v>24899953.732475609</v>
      </c>
    </row>
    <row r="17" spans="3:6" ht="15.75" x14ac:dyDescent="0.25">
      <c r="C17" s="4">
        <v>0.90583680327270055</v>
      </c>
      <c r="D17" s="4"/>
      <c r="E17" s="4"/>
      <c r="F17" s="5">
        <v>24835344.522831406</v>
      </c>
    </row>
    <row r="18" spans="3:6" ht="15.75" x14ac:dyDescent="0.25">
      <c r="C18" s="4">
        <v>0.90879584550470627</v>
      </c>
      <c r="D18" s="4"/>
      <c r="E18" s="4"/>
      <c r="F18" s="5">
        <v>24846580.907117352</v>
      </c>
    </row>
    <row r="19" spans="3:6" ht="15.75" x14ac:dyDescent="0.25">
      <c r="C19" s="4">
        <v>0.97167549293482425</v>
      </c>
      <c r="D19" s="4"/>
      <c r="E19" s="4"/>
      <c r="F19" s="5">
        <v>25085354.073193748</v>
      </c>
    </row>
    <row r="20" spans="3:6" ht="15.75" x14ac:dyDescent="0.25">
      <c r="C20" s="4">
        <v>0.94578387340477565</v>
      </c>
      <c r="D20" s="4"/>
      <c r="E20" s="4"/>
      <c r="F20" s="5">
        <v>24987035.710691705</v>
      </c>
    </row>
    <row r="21" spans="3:6" ht="15.75" x14ac:dyDescent="0.25">
      <c r="C21" s="4">
        <v>0.96131884512280474</v>
      </c>
      <c r="D21" s="4"/>
      <c r="E21" s="4"/>
      <c r="F21" s="5">
        <v>25046026.728192929</v>
      </c>
    </row>
    <row r="22" spans="3:6" ht="15.75" x14ac:dyDescent="0.25">
      <c r="C22" s="4">
        <v>0.94060554949876596</v>
      </c>
      <c r="D22" s="4"/>
      <c r="E22" s="4"/>
      <c r="F22" s="5">
        <v>24967372.038191296</v>
      </c>
    </row>
  </sheetData>
  <pageMargins left="0.7" right="0.7" top="0.75" bottom="0.75" header="0.3" footer="0.3"/>
  <ignoredErrors>
    <ignoredError sqref="G3:O3 F2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2025-05-21T21:13:56Z</dcterms:modified>
</cp:coreProperties>
</file>