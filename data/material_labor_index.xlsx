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2B16763A-8D07-4496-B884-B7754B925FFD}" xr6:coauthVersionLast="47" xr6:coauthVersionMax="47" xr10:uidLastSave="{00000000-0000-0000-0000-000000000000}"/>
  <bookViews>
    <workbookView xWindow="-120" yWindow="-120" windowWidth="29040" windowHeight="15720" activeTab="3" xr2:uid="{399E2127-A5E9-472C-8822-D51E87541BF5}"/>
  </bookViews>
  <sheets>
    <sheet name="labor" sheetId="1" r:id="rId1"/>
    <sheet name="state data" sheetId="2" r:id="rId2"/>
    <sheet name="plot_values" sheetId="3" r:id="rId3"/>
    <sheet name="plot_values_final" sheetId="5" r:id="rId4"/>
    <sheet name="Sheet3" sheetId="4" r:id="rId5"/>
  </sheets>
  <definedNames>
    <definedName name="_xlnm._FilterDatabase" localSheetId="1" hidden="1">'state data'!$A$1:$E$53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5" l="1"/>
  <c r="H52" i="5"/>
  <c r="H51" i="5"/>
  <c r="H50" i="5"/>
  <c r="H49" i="5"/>
  <c r="D48" i="5"/>
  <c r="H48" i="5" s="1"/>
  <c r="H47" i="5"/>
  <c r="H46" i="5"/>
  <c r="H45" i="5"/>
  <c r="H44" i="5"/>
  <c r="H43" i="5"/>
  <c r="H42" i="5"/>
  <c r="D41" i="5"/>
  <c r="H41" i="5" s="1"/>
  <c r="H40" i="5"/>
  <c r="H39" i="5"/>
  <c r="H38" i="5"/>
  <c r="H37" i="5"/>
  <c r="H36" i="5"/>
  <c r="H35" i="5"/>
  <c r="D34" i="5"/>
  <c r="H34" i="5" s="1"/>
  <c r="H33" i="5"/>
  <c r="H32" i="5"/>
  <c r="H31" i="5"/>
  <c r="H30" i="5"/>
  <c r="H29" i="5"/>
  <c r="H28" i="5"/>
  <c r="H27" i="5"/>
  <c r="D26" i="5"/>
  <c r="H26" i="5" s="1"/>
  <c r="H25" i="5"/>
  <c r="G24" i="5"/>
  <c r="D24" i="5"/>
  <c r="H24" i="5" s="1"/>
  <c r="G23" i="5"/>
  <c r="D23" i="5"/>
  <c r="H23" i="5" s="1"/>
  <c r="H22" i="5"/>
  <c r="G22" i="5"/>
  <c r="D22" i="5"/>
  <c r="H21" i="5"/>
  <c r="G21" i="5"/>
  <c r="D21" i="5"/>
  <c r="G20" i="5"/>
  <c r="D20" i="5"/>
  <c r="H20" i="5" s="1"/>
  <c r="H19" i="5"/>
  <c r="G19" i="5"/>
  <c r="D19" i="5"/>
  <c r="G18" i="5"/>
  <c r="D18" i="5"/>
  <c r="H18" i="5" s="1"/>
  <c r="G17" i="5"/>
  <c r="D17" i="5"/>
  <c r="H17" i="5" s="1"/>
  <c r="G16" i="5"/>
  <c r="D16" i="5"/>
  <c r="H16" i="5" s="1"/>
  <c r="G15" i="5"/>
  <c r="D15" i="5"/>
  <c r="H15" i="5" s="1"/>
  <c r="G14" i="5"/>
  <c r="H14" i="5" s="1"/>
  <c r="D14" i="5"/>
  <c r="H13" i="5"/>
  <c r="G13" i="5"/>
  <c r="D13" i="5"/>
  <c r="G12" i="5"/>
  <c r="D12" i="5"/>
  <c r="H12" i="5" s="1"/>
  <c r="H11" i="5"/>
  <c r="G11" i="5"/>
  <c r="D11" i="5"/>
  <c r="G10" i="5"/>
  <c r="D10" i="5"/>
  <c r="H10" i="5" s="1"/>
  <c r="G9" i="5"/>
  <c r="D9" i="5"/>
  <c r="H9" i="5" s="1"/>
  <c r="G8" i="5"/>
  <c r="D8" i="5"/>
  <c r="H8" i="5" s="1"/>
  <c r="G7" i="5"/>
  <c r="D7" i="5"/>
  <c r="H7" i="5" s="1"/>
  <c r="G6" i="5"/>
  <c r="H6" i="5" s="1"/>
  <c r="D6" i="5"/>
  <c r="H5" i="5"/>
  <c r="G5" i="5"/>
  <c r="D5" i="5"/>
  <c r="G4" i="5"/>
  <c r="D4" i="5"/>
  <c r="H4" i="5" s="1"/>
  <c r="H3" i="5"/>
  <c r="G3" i="5"/>
  <c r="D3" i="5"/>
  <c r="G2" i="5"/>
  <c r="D2" i="5"/>
  <c r="H2" i="5" s="1"/>
  <c r="H31" i="3"/>
  <c r="H5" i="3"/>
  <c r="H15" i="3"/>
  <c r="H16" i="3"/>
  <c r="H23" i="3"/>
  <c r="H24" i="3"/>
  <c r="H25" i="3"/>
  <c r="H27" i="3"/>
  <c r="H28" i="3"/>
  <c r="H29" i="3"/>
  <c r="H30" i="3"/>
  <c r="H32" i="3"/>
  <c r="H33" i="3"/>
  <c r="H35" i="3"/>
  <c r="H36" i="3"/>
  <c r="H37" i="3"/>
  <c r="H38" i="3"/>
  <c r="H39" i="3"/>
  <c r="H40" i="3"/>
  <c r="H42" i="3"/>
  <c r="H43" i="3"/>
  <c r="H44" i="3"/>
  <c r="H45" i="3"/>
  <c r="H46" i="3"/>
  <c r="H47" i="3"/>
  <c r="H48" i="3"/>
  <c r="H49" i="3"/>
  <c r="H50" i="3"/>
  <c r="H51" i="3"/>
  <c r="H52" i="3"/>
  <c r="H53" i="3"/>
  <c r="D48" i="3"/>
  <c r="D41" i="3"/>
  <c r="H41" i="3" s="1"/>
  <c r="D34" i="3"/>
  <c r="H34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" i="3"/>
  <c r="D26" i="3"/>
  <c r="H26" i="3" s="1"/>
  <c r="D3" i="3"/>
  <c r="H3" i="3" s="1"/>
  <c r="D4" i="3"/>
  <c r="H4" i="3" s="1"/>
  <c r="D5" i="3"/>
  <c r="D6" i="3"/>
  <c r="H6" i="3" s="1"/>
  <c r="D7" i="3"/>
  <c r="H7" i="3" s="1"/>
  <c r="D8" i="3"/>
  <c r="H8" i="3" s="1"/>
  <c r="D9" i="3"/>
  <c r="H9" i="3" s="1"/>
  <c r="D10" i="3"/>
  <c r="H10" i="3" s="1"/>
  <c r="D11" i="3"/>
  <c r="H11" i="3" s="1"/>
  <c r="D12" i="3"/>
  <c r="H12" i="3" s="1"/>
  <c r="D13" i="3"/>
  <c r="H13" i="3" s="1"/>
  <c r="D14" i="3"/>
  <c r="H14" i="3" s="1"/>
  <c r="D15" i="3"/>
  <c r="D16" i="3"/>
  <c r="D17" i="3"/>
  <c r="H17" i="3" s="1"/>
  <c r="D18" i="3"/>
  <c r="H18" i="3" s="1"/>
  <c r="D19" i="3"/>
  <c r="H19" i="3" s="1"/>
  <c r="D20" i="3"/>
  <c r="H20" i="3" s="1"/>
  <c r="D21" i="3"/>
  <c r="H21" i="3" s="1"/>
  <c r="D22" i="3"/>
  <c r="H22" i="3" s="1"/>
  <c r="D23" i="3"/>
  <c r="D24" i="3"/>
  <c r="D2" i="3"/>
  <c r="H2" i="3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2" i="2"/>
  <c r="I2" i="2"/>
  <c r="E25" i="2" s="1"/>
  <c r="C53" i="2"/>
  <c r="C7" i="2"/>
  <c r="C50" i="2"/>
  <c r="C8" i="2"/>
  <c r="C45" i="2"/>
  <c r="C10" i="2"/>
  <c r="C6" i="2"/>
  <c r="C24" i="2"/>
  <c r="C22" i="2"/>
  <c r="C12" i="2"/>
  <c r="C38" i="2"/>
  <c r="C19" i="2"/>
  <c r="C9" i="2"/>
  <c r="C35" i="2"/>
  <c r="C46" i="2"/>
  <c r="C23" i="2"/>
  <c r="C20" i="2"/>
  <c r="C47" i="2"/>
  <c r="C39" i="2"/>
  <c r="C30" i="2"/>
  <c r="C21" i="2"/>
  <c r="C36" i="2"/>
  <c r="C26" i="2"/>
  <c r="C33" i="2"/>
  <c r="C31" i="2"/>
  <c r="C3" i="2"/>
  <c r="C52" i="2"/>
  <c r="C42" i="2"/>
  <c r="C41" i="2"/>
  <c r="C16" i="2"/>
  <c r="C28" i="2"/>
  <c r="C49" i="2"/>
  <c r="C15" i="2"/>
  <c r="C18" i="2"/>
  <c r="C4" i="2"/>
  <c r="C14" i="2"/>
  <c r="C51" i="2"/>
  <c r="C32" i="2"/>
  <c r="C2" i="2"/>
  <c r="C37" i="2"/>
  <c r="C11" i="2"/>
  <c r="C43" i="2"/>
  <c r="C44" i="2"/>
  <c r="C27" i="2"/>
  <c r="C17" i="2"/>
  <c r="C13" i="2"/>
  <c r="C29" i="2"/>
  <c r="C34" i="2"/>
  <c r="C5" i="2"/>
  <c r="C48" i="2"/>
  <c r="C25" i="2"/>
  <c r="C40" i="2"/>
  <c r="E20" i="2" l="1"/>
  <c r="E11" i="2"/>
  <c r="E43" i="2"/>
  <c r="E35" i="2"/>
  <c r="E21" i="2"/>
  <c r="E5" i="2"/>
  <c r="E53" i="2"/>
  <c r="E3" i="2"/>
  <c r="E7" i="2"/>
  <c r="E42" i="2"/>
  <c r="E8" i="2"/>
  <c r="E41" i="2"/>
  <c r="E22" i="2"/>
  <c r="E18" i="2"/>
  <c r="E9" i="2"/>
  <c r="E32" i="2"/>
  <c r="E19" i="2"/>
  <c r="E31" i="2"/>
  <c r="E51" i="2"/>
  <c r="E45" i="2"/>
  <c r="E47" i="2"/>
  <c r="E16" i="2"/>
  <c r="E27" i="2"/>
  <c r="E10" i="2"/>
  <c r="E30" i="2"/>
  <c r="E15" i="2"/>
  <c r="E13" i="2"/>
  <c r="E12" i="2"/>
  <c r="E36" i="2"/>
  <c r="E14" i="2"/>
  <c r="E48" i="2"/>
  <c r="E17" i="2"/>
  <c r="E6" i="2"/>
  <c r="E46" i="2"/>
  <c r="E26" i="2"/>
  <c r="E28" i="2"/>
  <c r="E2" i="2"/>
  <c r="E29" i="2"/>
  <c r="E40" i="2"/>
  <c r="E24" i="2"/>
  <c r="E23" i="2"/>
  <c r="E33" i="2"/>
  <c r="E49" i="2"/>
  <c r="E37" i="2"/>
  <c r="E34" i="2"/>
  <c r="E50" i="2"/>
  <c r="E38" i="2"/>
  <c r="E39" i="2"/>
  <c r="E52" i="2"/>
  <c r="E4" i="2"/>
  <c r="E44" i="2"/>
</calcChain>
</file>

<file path=xl/sharedStrings.xml><?xml version="1.0" encoding="utf-8"?>
<sst xmlns="http://schemas.openxmlformats.org/spreadsheetml/2006/main" count="444" uniqueCount="117">
  <si>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</si>
  <si>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</si>
  <si>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</si>
  <si>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</si>
  <si>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</si>
  <si>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</si>
  <si>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</si>
  <si>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</si>
  <si>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</si>
  <si>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</si>
  <si>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Import Country</t>
  </si>
  <si>
    <t>Canada</t>
  </si>
  <si>
    <t>Component</t>
  </si>
  <si>
    <t>Nacelle</t>
  </si>
  <si>
    <t>Blades</t>
  </si>
  <si>
    <t>Denmark</t>
  </si>
  <si>
    <t>Nacelles</t>
  </si>
  <si>
    <t>Germany</t>
  </si>
  <si>
    <t>France</t>
  </si>
  <si>
    <t>Towers</t>
  </si>
  <si>
    <t>Portugal</t>
  </si>
  <si>
    <t>Monopiles</t>
  </si>
  <si>
    <t>Array Cables</t>
  </si>
  <si>
    <t>Export Cables</t>
  </si>
  <si>
    <t>United Kingdom</t>
  </si>
  <si>
    <t>Greece</t>
  </si>
  <si>
    <t>Italy</t>
  </si>
  <si>
    <t>Finland</t>
  </si>
  <si>
    <t>Import</t>
  </si>
  <si>
    <t>Blades (3)</t>
  </si>
  <si>
    <t>Tower</t>
  </si>
  <si>
    <t>monopile_steel_cost</t>
  </si>
  <si>
    <t>export cables</t>
  </si>
  <si>
    <t>array cables</t>
  </si>
  <si>
    <t>Note</t>
  </si>
  <si>
    <t>67% epoxy, 18% PVC, 17% hot dip galvanized</t>
  </si>
  <si>
    <t>average of beams, quarto plate, merchant bar</t>
  </si>
  <si>
    <t>85% quarto plate (hot rolled plate), 7.5% hot-rolled coil , 7.5% merchant bar</t>
  </si>
  <si>
    <t>hot rolled plate</t>
  </si>
  <si>
    <t>27% steel (wire rod), 28% copper, 22% lead, 24% polymer (PVC)</t>
  </si>
  <si>
    <t>36% steel (wire rod), 14% aluminum, 28% lead, 23% polymer (PVC)</t>
  </si>
  <si>
    <t>North America/Europe Ratio</t>
  </si>
  <si>
    <t>Average hours and earnings of production employees on manufacturing payrolls by State</t>
  </si>
  <si>
    <t>Great Lakes State?</t>
  </si>
  <si>
    <t>Puerto Rico</t>
  </si>
  <si>
    <t>Mississippi</t>
  </si>
  <si>
    <t>Virgin Islands</t>
  </si>
  <si>
    <t>Arkansas</t>
  </si>
  <si>
    <t>North Carolina</t>
  </si>
  <si>
    <t>Nevada</t>
  </si>
  <si>
    <t>Idaho</t>
  </si>
  <si>
    <t>Kansas</t>
  </si>
  <si>
    <t>Montana</t>
  </si>
  <si>
    <t>Tennessee</t>
  </si>
  <si>
    <t>South Dakota</t>
  </si>
  <si>
    <t>Georgia</t>
  </si>
  <si>
    <t>Oklahoma</t>
  </si>
  <si>
    <t>Alabama</t>
  </si>
  <si>
    <t>New Mexico</t>
  </si>
  <si>
    <t>West Virginia</t>
  </si>
  <si>
    <t>Illinois</t>
  </si>
  <si>
    <t>Arizona</t>
  </si>
  <si>
    <t>Kentucky</t>
  </si>
  <si>
    <t>Indiana</t>
  </si>
  <si>
    <t>Virginia</t>
  </si>
  <si>
    <t>Nebraska</t>
  </si>
  <si>
    <t>Iowa</t>
  </si>
  <si>
    <t>Rhode Island</t>
  </si>
  <si>
    <t>South Carolina</t>
  </si>
  <si>
    <t>Wisconsin</t>
  </si>
  <si>
    <t>Alaska</t>
  </si>
  <si>
    <t>New Jersey</t>
  </si>
  <si>
    <t>New York</t>
  </si>
  <si>
    <t>Missouri</t>
  </si>
  <si>
    <t>Ohio</t>
  </si>
  <si>
    <t>Maryland</t>
  </si>
  <si>
    <t>New Hampshire</t>
  </si>
  <si>
    <t>Pennsylvania</t>
  </si>
  <si>
    <t>Vermont</t>
  </si>
  <si>
    <t>Maine</t>
  </si>
  <si>
    <t>Michigan</t>
  </si>
  <si>
    <t>Utah</t>
  </si>
  <si>
    <t>North Dakota</t>
  </si>
  <si>
    <t>Delaware</t>
  </si>
  <si>
    <t>Louisiana</t>
  </si>
  <si>
    <t>Oregon</t>
  </si>
  <si>
    <t>Hawaii</t>
  </si>
  <si>
    <t>Massachusetts</t>
  </si>
  <si>
    <t>Minnesota</t>
  </si>
  <si>
    <t>California</t>
  </si>
  <si>
    <t>Florida</t>
  </si>
  <si>
    <t>Texas</t>
  </si>
  <si>
    <t>Connecticut</t>
  </si>
  <si>
    <t>Washington</t>
  </si>
  <si>
    <t>Colorado</t>
  </si>
  <si>
    <t>Wyoming</t>
  </si>
  <si>
    <t>state multiplier</t>
  </si>
  <si>
    <t>US East Coast</t>
  </si>
  <si>
    <t>state/country</t>
  </si>
  <si>
    <t>category</t>
  </si>
  <si>
    <t>Great Lakes</t>
  </si>
  <si>
    <t>multiplier</t>
  </si>
  <si>
    <t>ilostat_number</t>
  </si>
  <si>
    <t>final_number_usd</t>
  </si>
  <si>
    <t>ilostat_currency</t>
  </si>
  <si>
    <t>ilostat_year</t>
  </si>
  <si>
    <t>currency_to_usd</t>
  </si>
  <si>
    <t>United States of America</t>
  </si>
  <si>
    <t>USD</t>
  </si>
  <si>
    <t>EUR</t>
  </si>
  <si>
    <t>Europe (2023 average EUR/USD exchange rate)</t>
  </si>
  <si>
    <t>Europe (2024 average EUR/USD exchange rate)</t>
  </si>
  <si>
    <t>Europe (2025 H1 average EUR/USD exchange rate)</t>
  </si>
  <si>
    <t>Europe (2025 Q2 average EUR/USD exchange rate)</t>
  </si>
  <si>
    <t>Row Labels</t>
  </si>
  <si>
    <t>Grand Total</t>
  </si>
  <si>
    <t>Average of final_number_usd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</si>
</sst>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0.00"/>
    <numFmt numFmtId="165" formatCode="0.0000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1" fillId="0" borderId="0" xfId="1"/>
    <xf numFmtId="44" fontId="1" fillId="0" borderId="0" xfId="2" applyFont="1"/>
    <xf numFmtId="0" fontId="0" fillId="0" borderId="0" xfId="0" applyAlignment="1">
      <alignment vertical="center"/>
    </xf>
    <xf numFmtId="2" fontId="0" fillId="0" borderId="0" xfId="0" applyNumberFormat="1"/>
    <xf numFmtId="0" fontId="1" fillId="2" borderId="0" xfId="1" applyFill="1"/>
    <xf numFmtId="2" fontId="1" fillId="2" borderId="0" xfId="1" applyNumberFormat="1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4" fontId="2" fillId="0" borderId="0" xfId="3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</cellXfs>
  <cellStyles count="4">
    <cellStyle name="Currency 2" xfId="2" xr:uid="{FCE147A8-A26F-4FA6-BB4A-8AAEFDC95242}"/>
    <cellStyle name="Normal" xfId="0" builtinId="0"/>
    <cellStyle name="Normal 2" xfId="1" xr:uid="{AAB2B179-C027-4144-AF2C-534BC6773A67}"/>
    <cellStyle name="Normal 3" xfId="3" xr:uid="{4B7729A3-07F8-4024-A738-8CFA07DCE4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las Hernando, Daniel" refreshedDate="45866.870872916668" createdVersion="8" refreshedVersion="8" minRefreshableVersion="3" recordCount="52" xr:uid="{BB1A7D50-C952-44D7-BF89-AC122A279091}">
  <cacheSource type="worksheet">
    <worksheetSource ref="A1:H53" sheet="plot_values"/>
  </cacheSource>
  <cacheFields count="8">
    <cacheField name="category" numFmtId="0">
      <sharedItems count="7">
        <s v="Great Lakes"/>
        <s v="US East Coast"/>
        <s v="Europe (2023 average EUR/USD exchange rate)"/>
        <s v="US Average"/>
        <s v="Europe (2024 average EUR/USD exchange rate)"/>
        <s v="Europe (2025 H1 average EUR/USD exchange rate)"/>
        <s v="Europe (2025 Q2 average EUR/USD exchange rate)"/>
      </sharedItems>
    </cacheField>
    <cacheField name="state/country" numFmtId="0">
      <sharedItems/>
    </cacheField>
    <cacheField name="multiplier" numFmtId="0">
      <sharedItems containsString="0" containsBlank="1" containsNumber="1" minValue="0.87460924991231936" maxValue="1.1541194589731467"/>
    </cacheField>
    <cacheField name="ilostat_number" numFmtId="0">
      <sharedItems containsSemiMixedTypes="0" containsString="0" containsNumber="1" minValue="14.6" maxValue="51.559640000000002"/>
    </cacheField>
    <cacheField name="ilostat_currency" numFmtId="0">
      <sharedItems/>
    </cacheField>
    <cacheField name="ilostat_year" numFmtId="0">
      <sharedItems containsSemiMixedTypes="0" containsString="0" containsNumber="1" containsInteger="1" minValue="2023" maxValue="2023"/>
    </cacheField>
    <cacheField name="currency_to_usd" numFmtId="0">
      <sharedItems containsSemiMixedTypes="0" containsString="0" containsNumber="1" minValue="1" maxValue="1.1469"/>
    </cacheField>
    <cacheField name="final_number_usd" numFmtId="165">
      <sharedItems containsSemiMixedTypes="0" containsString="0" containsNumber="1" minValue="15.79866" maxValue="59.133751116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s v="Illinois"/>
    <n v="0.97095106665243436"/>
    <n v="42.411142591378329"/>
    <s v="USD"/>
    <n v="2023"/>
    <n v="1"/>
    <n v="42.411142591378329"/>
  </r>
  <r>
    <x v="0"/>
    <s v="Indiana"/>
    <n v="0.97412281370560694"/>
    <n v="42.549684502660909"/>
    <s v="USD"/>
    <n v="2023"/>
    <n v="1"/>
    <n v="42.549684502660909"/>
  </r>
  <r>
    <x v="0"/>
    <s v="Michigan"/>
    <n v="1.0415224385855226"/>
    <n v="45.493700117415628"/>
    <s v="USD"/>
    <n v="2023"/>
    <n v="1"/>
    <n v="45.493700117415628"/>
  </r>
  <r>
    <x v="0"/>
    <s v="Minnesota"/>
    <n v="1.09028804952805"/>
    <n v="47.623782003385223"/>
    <s v="USD"/>
    <n v="2023"/>
    <n v="1"/>
    <n v="47.623782003385223"/>
  </r>
  <r>
    <x v="0"/>
    <s v="New York"/>
    <n v="1.0082190945272114"/>
    <n v="44.03901004894859"/>
    <s v="USD"/>
    <n v="2023"/>
    <n v="1"/>
    <n v="44.03901004894859"/>
  </r>
  <r>
    <x v="0"/>
    <s v="Ohio"/>
    <n v="1.0137696518702632"/>
    <n v="44.2814583936931"/>
    <s v="USD"/>
    <n v="2023"/>
    <n v="1"/>
    <n v="44.2814583936931"/>
  </r>
  <r>
    <x v="0"/>
    <s v="Pennsylvania"/>
    <n v="1.0304213238994189"/>
    <n v="45.008803427926615"/>
    <s v="USD"/>
    <n v="2023"/>
    <n v="1"/>
    <n v="45.008803427926615"/>
  </r>
  <r>
    <x v="0"/>
    <s v="Wisconsin"/>
    <n v="0.98918861220817633"/>
    <n v="43.207758581253145"/>
    <s v="USD"/>
    <n v="2023"/>
    <n v="1"/>
    <n v="43.207758581253145"/>
  </r>
  <r>
    <x v="1"/>
    <s v="Connecticut"/>
    <n v="1.1541194589731467"/>
    <n v="50.411937967947047"/>
    <s v="USD"/>
    <n v="2023"/>
    <n v="1"/>
    <n v="50.411937967947047"/>
  </r>
  <r>
    <x v="1"/>
    <s v="Delaware"/>
    <n v="1.0542094267982127"/>
    <n v="46.047867762545934"/>
    <s v="USD"/>
    <n v="2023"/>
    <n v="1"/>
    <n v="46.047867762545934"/>
  </r>
  <r>
    <x v="1"/>
    <s v="Florida"/>
    <n v="1.1235913935863615"/>
    <n v="49.078472071852268"/>
    <s v="USD"/>
    <n v="2023"/>
    <n v="1"/>
    <n v="49.078472071852268"/>
  </r>
  <r>
    <x v="1"/>
    <s v="Georgia"/>
    <n v="0.94161240641058874"/>
    <n v="41.129629912014515"/>
    <s v="USD"/>
    <n v="2023"/>
    <n v="1"/>
    <n v="41.129629912014515"/>
  </r>
  <r>
    <x v="1"/>
    <s v="Maine"/>
    <n v="1.0367648180057638"/>
    <n v="45.285887250491761"/>
    <s v="USD"/>
    <n v="2023"/>
    <n v="1"/>
    <n v="45.285887250491761"/>
  </r>
  <r>
    <x v="1"/>
    <s v="Maryland"/>
    <n v="1.0181308040683754"/>
    <n v="44.471953521706638"/>
    <s v="USD"/>
    <n v="2023"/>
    <n v="1"/>
    <n v="44.471953521706638"/>
  </r>
  <r>
    <x v="1"/>
    <s v="Massachusetts"/>
    <n v="1.0843410238033517"/>
    <n v="47.364015919730406"/>
    <s v="USD"/>
    <n v="2023"/>
    <n v="1"/>
    <n v="47.364015919730406"/>
  </r>
  <r>
    <x v="1"/>
    <s v="New Hampshire"/>
    <n v="1.0189237408316685"/>
    <n v="44.506588999527281"/>
    <s v="USD"/>
    <n v="2023"/>
    <n v="1"/>
    <n v="44.506588999527281"/>
  </r>
  <r>
    <x v="1"/>
    <s v="New Jersey"/>
    <n v="1.0054438158556853"/>
    <n v="43.917785876576332"/>
    <s v="USD"/>
    <n v="2023"/>
    <n v="1"/>
    <n v="43.917785876576332"/>
  </r>
  <r>
    <x v="1"/>
    <s v="New York"/>
    <n v="1.0082190945272114"/>
    <n v="44.03901004894859"/>
    <s v="USD"/>
    <n v="2023"/>
    <n v="1"/>
    <n v="44.03901004894859"/>
  </r>
  <r>
    <x v="1"/>
    <s v="North Carolina"/>
    <n v="0.87460924991231936"/>
    <n v="38.202932036170111"/>
    <s v="USD"/>
    <n v="2023"/>
    <n v="1"/>
    <n v="38.202932036170111"/>
  </r>
  <r>
    <x v="1"/>
    <s v="Pennsylvania"/>
    <n v="1.0304213238994189"/>
    <n v="45.008803427926615"/>
    <s v="USD"/>
    <n v="2023"/>
    <n v="1"/>
    <n v="45.008803427926615"/>
  </r>
  <r>
    <x v="1"/>
    <s v="Rhode Island"/>
    <n v="0.9887921438265298"/>
    <n v="43.190440842342824"/>
    <s v="USD"/>
    <n v="2023"/>
    <n v="1"/>
    <n v="43.190440842342824"/>
  </r>
  <r>
    <x v="1"/>
    <s v="South Carolina"/>
    <n v="0.98918861220817633"/>
    <n v="43.207758581253145"/>
    <s v="USD"/>
    <n v="2023"/>
    <n v="1"/>
    <n v="43.207758581253145"/>
  </r>
  <r>
    <x v="1"/>
    <s v="Virginia"/>
    <n v="0.97570868723219317"/>
    <n v="42.618955458302196"/>
    <s v="USD"/>
    <n v="2023"/>
    <n v="1"/>
    <n v="42.618955458302196"/>
  </r>
  <r>
    <x v="2"/>
    <s v="Germany"/>
    <m/>
    <n v="46.2"/>
    <s v="EUR"/>
    <n v="2023"/>
    <n v="1.0821000000000001"/>
    <n v="49.993020000000008"/>
  </r>
  <r>
    <x v="2"/>
    <s v="Denmark"/>
    <m/>
    <n v="51.559640000000002"/>
    <s v="EUR"/>
    <n v="2023"/>
    <n v="1.0821000000000001"/>
    <n v="55.792686444000005"/>
  </r>
  <r>
    <x v="2"/>
    <s v="Finland"/>
    <m/>
    <n v="41.5"/>
    <s v="EUR"/>
    <n v="2023"/>
    <n v="1.0821000000000001"/>
    <n v="44.907150000000001"/>
  </r>
  <r>
    <x v="2"/>
    <s v="France"/>
    <m/>
    <n v="44.6"/>
    <s v="EUR"/>
    <n v="2023"/>
    <n v="1.0821000000000001"/>
    <n v="48.261660000000006"/>
  </r>
  <r>
    <x v="2"/>
    <s v="Greece"/>
    <m/>
    <n v="15.2"/>
    <s v="EUR"/>
    <n v="2023"/>
    <n v="1.0821000000000001"/>
    <n v="16.44792"/>
  </r>
  <r>
    <x v="2"/>
    <s v="Italy"/>
    <m/>
    <n v="30.4"/>
    <s v="EUR"/>
    <n v="2023"/>
    <n v="1.0821000000000001"/>
    <n v="32.89584"/>
  </r>
  <r>
    <x v="2"/>
    <s v="Portugal"/>
    <m/>
    <n v="14.6"/>
    <s v="EUR"/>
    <n v="2023"/>
    <n v="1.0821000000000001"/>
    <n v="15.79866"/>
  </r>
  <r>
    <x v="3"/>
    <s v="United States of America"/>
    <m/>
    <n v="43.68"/>
    <s v="USD"/>
    <n v="2023"/>
    <n v="1"/>
    <n v="43.68"/>
  </r>
  <r>
    <x v="4"/>
    <s v="Germany"/>
    <m/>
    <n v="46.2"/>
    <s v="EUR"/>
    <n v="2023"/>
    <n v="1.0822000000000001"/>
    <n v="49.997640000000004"/>
  </r>
  <r>
    <x v="4"/>
    <s v="Denmark"/>
    <m/>
    <n v="51.559640000000002"/>
    <s v="EUR"/>
    <n v="2023"/>
    <n v="1.0822000000000001"/>
    <n v="55.797842408000001"/>
  </r>
  <r>
    <x v="4"/>
    <s v="Finland"/>
    <m/>
    <n v="41.5"/>
    <s v="EUR"/>
    <n v="2023"/>
    <n v="1.0822000000000001"/>
    <n v="44.911300000000004"/>
  </r>
  <r>
    <x v="4"/>
    <s v="France"/>
    <m/>
    <n v="44.6"/>
    <s v="EUR"/>
    <n v="2023"/>
    <n v="1.0822000000000001"/>
    <n v="48.266120000000001"/>
  </r>
  <r>
    <x v="4"/>
    <s v="Greece"/>
    <m/>
    <n v="15.2"/>
    <s v="EUR"/>
    <n v="2023"/>
    <n v="1.0822000000000001"/>
    <n v="16.449439999999999"/>
  </r>
  <r>
    <x v="4"/>
    <s v="Italy"/>
    <m/>
    <n v="30.4"/>
    <s v="EUR"/>
    <n v="2023"/>
    <n v="1.0822000000000001"/>
    <n v="32.898879999999998"/>
  </r>
  <r>
    <x v="4"/>
    <s v="Portugal"/>
    <m/>
    <n v="14.6"/>
    <s v="EUR"/>
    <n v="2023"/>
    <n v="1.0822000000000001"/>
    <n v="15.80012"/>
  </r>
  <r>
    <x v="5"/>
    <s v="Germany"/>
    <m/>
    <n v="46.2"/>
    <s v="EUR"/>
    <n v="2023"/>
    <n v="1.1042000000000001"/>
    <n v="51.014040000000008"/>
  </r>
  <r>
    <x v="5"/>
    <s v="Denmark"/>
    <m/>
    <n v="51.559640000000002"/>
    <s v="EUR"/>
    <n v="2023"/>
    <n v="1.1042000000000001"/>
    <n v="56.932154488000009"/>
  </r>
  <r>
    <x v="5"/>
    <s v="Finland"/>
    <m/>
    <n v="41.5"/>
    <s v="EUR"/>
    <n v="2023"/>
    <n v="1.1042000000000001"/>
    <n v="45.824300000000001"/>
  </r>
  <r>
    <x v="5"/>
    <s v="France"/>
    <m/>
    <n v="44.6"/>
    <s v="EUR"/>
    <n v="2023"/>
    <n v="1.1042000000000001"/>
    <n v="49.247320000000002"/>
  </r>
  <r>
    <x v="5"/>
    <s v="Greece"/>
    <m/>
    <n v="15.2"/>
    <s v="EUR"/>
    <n v="2023"/>
    <n v="1.1042000000000001"/>
    <n v="16.783840000000001"/>
  </r>
  <r>
    <x v="5"/>
    <s v="Italy"/>
    <m/>
    <n v="30.4"/>
    <s v="EUR"/>
    <n v="2023"/>
    <n v="1.1042000000000001"/>
    <n v="33.567680000000003"/>
  </r>
  <r>
    <x v="5"/>
    <s v="Portugal"/>
    <m/>
    <n v="14.6"/>
    <s v="EUR"/>
    <n v="2023"/>
    <n v="1.1042000000000001"/>
    <n v="16.121320000000001"/>
  </r>
  <r>
    <x v="6"/>
    <s v="Germany"/>
    <m/>
    <n v="46.2"/>
    <s v="EUR"/>
    <n v="2023"/>
    <n v="1.1469"/>
    <n v="52.986780000000003"/>
  </r>
  <r>
    <x v="6"/>
    <s v="Denmark"/>
    <m/>
    <n v="51.559640000000002"/>
    <s v="EUR"/>
    <n v="2023"/>
    <n v="1.1469"/>
    <n v="59.133751116000006"/>
  </r>
  <r>
    <x v="6"/>
    <s v="Finland"/>
    <m/>
    <n v="41.5"/>
    <s v="EUR"/>
    <n v="2023"/>
    <n v="1.1469"/>
    <n v="47.596350000000001"/>
  </r>
  <r>
    <x v="6"/>
    <s v="France"/>
    <m/>
    <n v="44.6"/>
    <s v="EUR"/>
    <n v="2023"/>
    <n v="1.1469"/>
    <n v="51.151740000000004"/>
  </r>
  <r>
    <x v="6"/>
    <s v="Greece"/>
    <m/>
    <n v="15.2"/>
    <s v="EUR"/>
    <n v="2023"/>
    <n v="1.1469"/>
    <n v="17.432880000000001"/>
  </r>
  <r>
    <x v="6"/>
    <s v="Italy"/>
    <m/>
    <n v="30.4"/>
    <s v="EUR"/>
    <n v="2023"/>
    <n v="1.1469"/>
    <n v="34.865760000000002"/>
  </r>
  <r>
    <x v="6"/>
    <s v="Portugal"/>
    <m/>
    <n v="14.6"/>
    <s v="EUR"/>
    <n v="2023"/>
    <n v="1.1469"/>
    <n v="16.744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0555F-8D8D-4FEE-AEB8-B7803BE2DF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8">
    <pivotField axis="axisRow" showAll="0">
      <items count="8">
        <item x="2"/>
        <item x="4"/>
        <item x="5"/>
        <item x="6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final_number_usd" fld="7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97B3-D8DE-41FE-AE20-0375CDDF34D8}">
  <dimension ref="A1:O26"/>
  <sheetViews>
    <sheetView workbookViewId="0">
      <selection activeCell="I16" sqref="I16"/>
    </sheetView>
  </sheetViews>
  <sheetFormatPr defaultRowHeight="15" x14ac:dyDescent="0.25"/>
  <cols>
    <col min="1" max="1" width="14.140625" bestFit="1" customWidth="1"/>
    <col min="2" max="2" width="7.85546875" bestFit="1" customWidth="1"/>
    <col min="3" max="3" width="9" bestFit="1" customWidth="1"/>
    <col min="4" max="4" width="8.7109375" bestFit="1" customWidth="1"/>
    <col min="5" max="5" width="8.85546875" bestFit="1" customWidth="1"/>
    <col min="6" max="6" width="8.42578125" bestFit="1" customWidth="1"/>
    <col min="7" max="7" width="9" bestFit="1" customWidth="1"/>
    <col min="8" max="8" width="10.28515625" bestFit="1" customWidth="1"/>
    <col min="9" max="9" width="12" bestFit="1" customWidth="1"/>
    <col min="10" max="10" width="15.140625" bestFit="1" customWidth="1"/>
    <col min="11" max="12" width="12.85546875" bestFit="1" customWidth="1"/>
  </cols>
  <sheetData>
    <row r="1" spans="1:15" x14ac:dyDescent="0.25">
      <c r="A1" t="s">
        <v>12</v>
      </c>
      <c r="B1" t="s">
        <v>14</v>
      </c>
      <c r="C1" t="s">
        <v>14</v>
      </c>
      <c r="D1" t="s">
        <v>16</v>
      </c>
      <c r="E1" t="s">
        <v>16</v>
      </c>
      <c r="F1" t="s">
        <v>19</v>
      </c>
      <c r="G1" t="s">
        <v>19</v>
      </c>
      <c r="H1" t="s">
        <v>21</v>
      </c>
      <c r="I1" t="s">
        <v>22</v>
      </c>
      <c r="J1" t="s">
        <v>22</v>
      </c>
      <c r="K1" t="s">
        <v>23</v>
      </c>
      <c r="L1" t="s">
        <v>23</v>
      </c>
    </row>
    <row r="2" spans="1:15" x14ac:dyDescent="0.25">
      <c r="A2" t="s">
        <v>10</v>
      </c>
      <c r="B2" t="s">
        <v>11</v>
      </c>
      <c r="C2" t="s">
        <v>15</v>
      </c>
      <c r="D2" t="s">
        <v>18</v>
      </c>
      <c r="E2" t="s">
        <v>17</v>
      </c>
      <c r="F2" t="s">
        <v>20</v>
      </c>
      <c r="G2" t="s">
        <v>15</v>
      </c>
      <c r="H2" t="s">
        <v>17</v>
      </c>
      <c r="I2" t="s">
        <v>25</v>
      </c>
      <c r="J2" t="s">
        <v>24</v>
      </c>
      <c r="K2" t="s">
        <v>26</v>
      </c>
      <c r="L2" t="s">
        <v>27</v>
      </c>
    </row>
    <row r="3" spans="1:15" ht="15.75" x14ac:dyDescent="0.25">
      <c r="A3" s="1" t="s">
        <v>28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1"/>
      <c r="O3" s="1"/>
    </row>
    <row r="4" spans="1:15" ht="15.75" x14ac:dyDescent="0.25">
      <c r="A4" s="1" t="s">
        <v>0</v>
      </c>
      <c r="B4" s="6">
        <v>1.2876344086021507</v>
      </c>
      <c r="C4" s="6">
        <v>0.82808298117556656</v>
      </c>
      <c r="D4" s="6">
        <v>0.94477317554240625</v>
      </c>
      <c r="E4" s="6">
        <v>0.9652933273622929</v>
      </c>
      <c r="F4" s="6">
        <v>2.3454842219804135</v>
      </c>
      <c r="G4" s="6">
        <v>0.82808298117556656</v>
      </c>
      <c r="H4" s="6">
        <v>0.9652933273622929</v>
      </c>
      <c r="I4" s="6">
        <v>2.5388692579505299</v>
      </c>
      <c r="J4" s="6">
        <v>1.3942432082794307</v>
      </c>
      <c r="K4" s="6">
        <v>1.3379888268156426</v>
      </c>
      <c r="L4" s="6">
        <v>1.0745264207377867</v>
      </c>
      <c r="M4" s="1"/>
      <c r="O4" s="1"/>
    </row>
    <row r="5" spans="1:15" ht="15.75" x14ac:dyDescent="0.25">
      <c r="A5" s="1" t="s">
        <v>1</v>
      </c>
      <c r="B5" s="6">
        <v>1.2903225806451615</v>
      </c>
      <c r="C5" s="6">
        <v>0.82981175566653864</v>
      </c>
      <c r="D5" s="6">
        <v>0.94674556213017758</v>
      </c>
      <c r="E5" s="6">
        <v>0.9673085535154502</v>
      </c>
      <c r="F5" s="6">
        <v>2.3503808487486402</v>
      </c>
      <c r="G5" s="6">
        <v>0.82981175566653864</v>
      </c>
      <c r="H5" s="6">
        <v>0.9673085535154502</v>
      </c>
      <c r="I5" s="6">
        <v>2.5441696113074208</v>
      </c>
      <c r="J5" s="6">
        <v>1.3971539456662354</v>
      </c>
      <c r="K5" s="6">
        <v>1.3407821229050281</v>
      </c>
      <c r="L5" s="6">
        <v>1.0767696909272184</v>
      </c>
      <c r="M5" s="1"/>
      <c r="O5" s="1"/>
    </row>
    <row r="6" spans="1:15" ht="15.75" x14ac:dyDescent="0.25">
      <c r="A6" s="1" t="s">
        <v>2</v>
      </c>
      <c r="B6" s="6">
        <v>1.3863053198836512</v>
      </c>
      <c r="C6" s="6">
        <v>0.89153864982144904</v>
      </c>
      <c r="D6" s="6">
        <v>1.0171707672519097</v>
      </c>
      <c r="E6" s="6">
        <v>1.0392633701232565</v>
      </c>
      <c r="F6" s="6">
        <v>2.5252177426389903</v>
      </c>
      <c r="G6" s="6">
        <v>0.89153864982144904</v>
      </c>
      <c r="H6" s="6">
        <v>1.0392633701232565</v>
      </c>
      <c r="I6" s="6">
        <v>2.7334217968023933</v>
      </c>
      <c r="J6" s="6">
        <v>1.5010835093694901</v>
      </c>
      <c r="K6" s="6">
        <v>1.440518377085805</v>
      </c>
      <c r="L6" s="6">
        <v>1.1568669518869552</v>
      </c>
      <c r="M6" s="1"/>
      <c r="O6" s="1"/>
    </row>
    <row r="7" spans="1:15" ht="15.75" x14ac:dyDescent="0.25">
      <c r="A7" s="1" t="s">
        <v>3</v>
      </c>
      <c r="B7" s="6">
        <v>1.2577570084035308</v>
      </c>
      <c r="C7" s="6">
        <v>0.80886870229255092</v>
      </c>
      <c r="D7" s="6">
        <v>0.92285129610673244</v>
      </c>
      <c r="E7" s="6">
        <v>0.94289531216637279</v>
      </c>
      <c r="F7" s="6">
        <v>2.2910611883215566</v>
      </c>
      <c r="G7" s="6">
        <v>0.80886870229255092</v>
      </c>
      <c r="H7" s="6">
        <v>0.94289531216637279</v>
      </c>
      <c r="I7" s="6">
        <v>2.4799590483716258</v>
      </c>
      <c r="J7" s="6">
        <v>1.3618921294097737</v>
      </c>
      <c r="K7" s="6">
        <v>1.3069430366651213</v>
      </c>
      <c r="L7" s="6">
        <v>1.0495938345301647</v>
      </c>
      <c r="M7" s="1"/>
      <c r="O7" s="1"/>
    </row>
    <row r="8" spans="1:15" ht="15.75" x14ac:dyDescent="0.25">
      <c r="A8" s="1" t="s">
        <v>4</v>
      </c>
      <c r="B8" s="6">
        <v>1.2345679012345678</v>
      </c>
      <c r="C8" s="6">
        <v>0.7939556921500831</v>
      </c>
      <c r="D8" s="6">
        <v>0.90583680327270055</v>
      </c>
      <c r="E8" s="6">
        <v>0.9255112703388565</v>
      </c>
      <c r="F8" s="6">
        <v>2.248821182444686</v>
      </c>
      <c r="G8" s="6">
        <v>0.7939556921500831</v>
      </c>
      <c r="H8" s="6">
        <v>0.9255112703388565</v>
      </c>
      <c r="I8" s="6">
        <v>2.4342363564978404</v>
      </c>
      <c r="J8" s="6">
        <v>1.3367830961621385</v>
      </c>
      <c r="K8" s="6">
        <v>1.2828470929029587</v>
      </c>
      <c r="L8" s="6">
        <v>1.030242605516783</v>
      </c>
      <c r="M8" s="1"/>
      <c r="O8" s="1"/>
    </row>
    <row r="9" spans="1:15" ht="15.75" x14ac:dyDescent="0.25">
      <c r="A9" s="1" t="s">
        <v>5</v>
      </c>
      <c r="B9" s="6">
        <v>1.2386007894378659</v>
      </c>
      <c r="C9" s="6">
        <v>0.79654925913138197</v>
      </c>
      <c r="D9" s="6">
        <v>0.90879584550470627</v>
      </c>
      <c r="E9" s="6">
        <v>0.92853458196103333</v>
      </c>
      <c r="F9" s="6">
        <v>2.2561672704232727</v>
      </c>
      <c r="G9" s="6">
        <v>0.79654925913138197</v>
      </c>
      <c r="H9" s="6">
        <v>0.92853458196103333</v>
      </c>
      <c r="I9" s="6">
        <v>2.4421881289976293</v>
      </c>
      <c r="J9" s="6">
        <v>1.3411498845530319</v>
      </c>
      <c r="K9" s="6">
        <v>1.2870376918181177</v>
      </c>
      <c r="L9" s="6">
        <v>1.033608036649545</v>
      </c>
      <c r="M9" s="1"/>
      <c r="O9" s="1"/>
    </row>
    <row r="10" spans="1:15" ht="15.75" x14ac:dyDescent="0.25">
      <c r="A10" s="1" t="s">
        <v>6</v>
      </c>
      <c r="B10" s="6">
        <v>1.3242996637579461</v>
      </c>
      <c r="C10" s="6">
        <v>0.85166255748398068</v>
      </c>
      <c r="D10" s="6">
        <v>0.97167549293482425</v>
      </c>
      <c r="E10" s="6">
        <v>0.99277995393228924</v>
      </c>
      <c r="F10" s="6">
        <v>2.4122716399682282</v>
      </c>
      <c r="G10" s="6">
        <v>0.85166255748398068</v>
      </c>
      <c r="H10" s="6">
        <v>0.99277995393228924</v>
      </c>
      <c r="I10" s="6">
        <v>2.6111632946181409</v>
      </c>
      <c r="J10" s="6">
        <v>1.4339441378595095</v>
      </c>
      <c r="K10" s="6">
        <v>1.3760879187652402</v>
      </c>
      <c r="L10" s="6">
        <v>1.1051234482207386</v>
      </c>
      <c r="M10" s="1"/>
      <c r="O10" s="1"/>
    </row>
    <row r="11" spans="1:15" ht="15.75" x14ac:dyDescent="0.25">
      <c r="A11" s="1" t="s">
        <v>7</v>
      </c>
      <c r="B11" s="6">
        <v>1.2890118919790896</v>
      </c>
      <c r="C11" s="6">
        <v>0.82896884639761648</v>
      </c>
      <c r="D11" s="6">
        <v>0.94578387340477565</v>
      </c>
      <c r="E11" s="6">
        <v>0.96632597723824265</v>
      </c>
      <c r="F11" s="6">
        <v>2.3479933701555993</v>
      </c>
      <c r="G11" s="6">
        <v>0.82896884639761648</v>
      </c>
      <c r="H11" s="6">
        <v>0.96632597723824265</v>
      </c>
      <c r="I11" s="6">
        <v>2.5415852852449889</v>
      </c>
      <c r="J11" s="6">
        <v>1.395734739439195</v>
      </c>
      <c r="K11" s="6">
        <v>1.3394201782576014</v>
      </c>
      <c r="L11" s="6">
        <v>1.0756759258090707</v>
      </c>
      <c r="M11" s="1"/>
      <c r="O11" s="1"/>
    </row>
    <row r="12" spans="1:15" ht="15.75" x14ac:dyDescent="0.25">
      <c r="A12" s="1" t="s">
        <v>8</v>
      </c>
      <c r="B12" s="6">
        <v>1.3101845550464033</v>
      </c>
      <c r="C12" s="6">
        <v>0.84258507304943486</v>
      </c>
      <c r="D12" s="6">
        <v>0.96131884512280474</v>
      </c>
      <c r="E12" s="6">
        <v>0.98219836325467047</v>
      </c>
      <c r="F12" s="6">
        <v>2.3865603320431763</v>
      </c>
      <c r="G12" s="6">
        <v>0.84258507304943486</v>
      </c>
      <c r="H12" s="6">
        <v>0.98219836325467047</v>
      </c>
      <c r="I12" s="6">
        <v>2.5833320908688799</v>
      </c>
      <c r="J12" s="6">
        <v>1.4186603784913836</v>
      </c>
      <c r="K12" s="6">
        <v>1.3614208225621844</v>
      </c>
      <c r="L12" s="6">
        <v>1.0933444392560714</v>
      </c>
      <c r="M12" s="1"/>
      <c r="O12" s="1"/>
    </row>
    <row r="13" spans="1:15" ht="15.75" x14ac:dyDescent="0.25">
      <c r="A13" s="1" t="s">
        <v>9</v>
      </c>
      <c r="B13" s="6">
        <v>1.2819543376233182</v>
      </c>
      <c r="C13" s="6">
        <v>0.82443010418034357</v>
      </c>
      <c r="D13" s="6">
        <v>0.94060554949876596</v>
      </c>
      <c r="E13" s="6">
        <v>0.96103518189943338</v>
      </c>
      <c r="F13" s="6">
        <v>2.3351377161930738</v>
      </c>
      <c r="G13" s="6">
        <v>0.82443010418034357</v>
      </c>
      <c r="H13" s="6">
        <v>0.96103518189943338</v>
      </c>
      <c r="I13" s="6">
        <v>2.5276696833703585</v>
      </c>
      <c r="J13" s="6">
        <v>1.3880928597551323</v>
      </c>
      <c r="K13" s="6">
        <v>1.3320866301560736</v>
      </c>
      <c r="L13" s="6">
        <v>1.0697864213267372</v>
      </c>
      <c r="M13" s="1"/>
      <c r="O13" s="1"/>
    </row>
    <row r="14" spans="1:15" ht="15.75" x14ac:dyDescent="0.25">
      <c r="C14" s="2"/>
      <c r="E14" s="1"/>
    </row>
    <row r="15" spans="1:15" ht="15.75" x14ac:dyDescent="0.25">
      <c r="E15" s="1"/>
    </row>
    <row r="16" spans="1:15" ht="15.75" x14ac:dyDescent="0.25">
      <c r="E16" s="1"/>
    </row>
    <row r="17" spans="1:5" ht="15.75" x14ac:dyDescent="0.25">
      <c r="E17" s="1"/>
    </row>
    <row r="18" spans="1:5" ht="15.75" x14ac:dyDescent="0.25">
      <c r="E18" s="1"/>
    </row>
    <row r="20" spans="1:5" x14ac:dyDescent="0.25">
      <c r="A20" t="s">
        <v>12</v>
      </c>
      <c r="B20" t="s">
        <v>41</v>
      </c>
      <c r="C20" t="s">
        <v>34</v>
      </c>
    </row>
    <row r="21" spans="1:5" x14ac:dyDescent="0.25">
      <c r="A21" s="3" t="s">
        <v>29</v>
      </c>
      <c r="B21" s="4">
        <v>0.95108234035285077</v>
      </c>
      <c r="C21" t="s">
        <v>35</v>
      </c>
    </row>
    <row r="22" spans="1:5" x14ac:dyDescent="0.25">
      <c r="A22" s="3" t="s">
        <v>13</v>
      </c>
      <c r="B22" s="4">
        <v>1.8091022889391299</v>
      </c>
      <c r="C22" t="s">
        <v>36</v>
      </c>
    </row>
    <row r="23" spans="1:5" x14ac:dyDescent="0.25">
      <c r="A23" s="3" t="s">
        <v>30</v>
      </c>
      <c r="B23" s="4">
        <v>1.8200151677543928</v>
      </c>
      <c r="C23" t="s">
        <v>37</v>
      </c>
    </row>
    <row r="24" spans="1:5" x14ac:dyDescent="0.25">
      <c r="A24" t="s">
        <v>31</v>
      </c>
      <c r="B24" s="4">
        <v>1.8627789900099172</v>
      </c>
      <c r="C24" t="s">
        <v>38</v>
      </c>
    </row>
    <row r="25" spans="1:5" x14ac:dyDescent="0.25">
      <c r="A25" t="s">
        <v>33</v>
      </c>
      <c r="B25" s="4">
        <v>1.2323942943123312</v>
      </c>
      <c r="C25" t="s">
        <v>40</v>
      </c>
    </row>
    <row r="26" spans="1:5" x14ac:dyDescent="0.25">
      <c r="A26" t="s">
        <v>32</v>
      </c>
      <c r="B26" s="4">
        <v>1.2487386286876085</v>
      </c>
      <c r="C2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3D65-D5CB-4242-96AE-E0ACEDE7902B}">
  <sheetPr filterMode="1"/>
  <dimension ref="A1:I53"/>
  <sheetViews>
    <sheetView workbookViewId="0">
      <selection activeCell="A8" activeCellId="1" sqref="E8:E49 A8:A49"/>
    </sheetView>
  </sheetViews>
  <sheetFormatPr defaultRowHeight="15" x14ac:dyDescent="0.25"/>
  <cols>
    <col min="1" max="1" width="37.28515625" customWidth="1"/>
    <col min="3" max="3" width="17" bestFit="1" customWidth="1"/>
    <col min="4" max="4" width="17" customWidth="1"/>
    <col min="5" max="5" width="16.7109375" bestFit="1" customWidth="1"/>
  </cols>
  <sheetData>
    <row r="1" spans="1:9" x14ac:dyDescent="0.25">
      <c r="A1" t="s">
        <v>42</v>
      </c>
      <c r="B1" s="7">
        <v>2023</v>
      </c>
      <c r="C1" t="s">
        <v>43</v>
      </c>
      <c r="D1" t="s">
        <v>97</v>
      </c>
      <c r="E1" t="s">
        <v>96</v>
      </c>
    </row>
    <row r="2" spans="1:9" hidden="1" x14ac:dyDescent="0.25">
      <c r="A2" s="8" t="s">
        <v>57</v>
      </c>
      <c r="B2" s="9">
        <v>23.87</v>
      </c>
      <c r="C2" t="str">
        <f t="shared" ref="C2:C33" si="0">IF(OR(A2="Illinois",A2="Indiana",A2="Michigan",A2="Minnesota",A2="New York",A2="Ohio",A2="Pennsylvania",A2="Wisconsin"),"Yes","No")</f>
        <v>No</v>
      </c>
      <c r="D2" t="str">
        <f>IF(OR(A2="Maine",A2="New Hampshire",A2="Massachusetts",A2="Rhode Island",A2="Connecticut",A2="New York",A2="New Jersey",A2="Delaware", A2="Maryland", A2="Virginia", A2="North Carolina", A2="South Carolina", A2="Georgia", A2="Florida", A2="Pennsylvania"),"Yes","No")</f>
        <v>No</v>
      </c>
      <c r="E2">
        <f t="shared" ref="E2:E33" si="1">B2/$I$2</f>
        <v>0.94637002699034745</v>
      </c>
      <c r="I2" s="10">
        <f>AVERAGE(B2:B53)</f>
        <v>25.222692307692309</v>
      </c>
    </row>
    <row r="3" spans="1:9" hidden="1" x14ac:dyDescent="0.25">
      <c r="A3" s="8" t="s">
        <v>70</v>
      </c>
      <c r="B3" s="9">
        <v>25.21</v>
      </c>
      <c r="C3" t="str">
        <f t="shared" si="0"/>
        <v>No</v>
      </c>
      <c r="D3" t="str">
        <f t="shared" ref="D3:D53" si="2">IF(OR(A3="Maine",A3="New Hampshire",A3="Massachusetts",A3="Rhode Island",A3="Connecticut",A3="New York",A3="New Jersey",A3="Delaware", A3="Maryland", A3="Virginia", A3="North Carolina", A3="South Carolina", A3="Georgia", A3="Florida", A3="Pennsylvania"),"Yes","No")</f>
        <v>No</v>
      </c>
      <c r="E3">
        <f t="shared" si="1"/>
        <v>0.99949679013098702</v>
      </c>
    </row>
    <row r="4" spans="1:9" hidden="1" x14ac:dyDescent="0.25">
      <c r="A4" s="8" t="s">
        <v>61</v>
      </c>
      <c r="B4" s="9">
        <v>24.51</v>
      </c>
      <c r="C4" t="str">
        <f t="shared" si="0"/>
        <v>No</v>
      </c>
      <c r="D4" t="str">
        <f t="shared" si="2"/>
        <v>No</v>
      </c>
      <c r="E4">
        <f t="shared" si="1"/>
        <v>0.97174400341572764</v>
      </c>
    </row>
    <row r="5" spans="1:9" hidden="1" x14ac:dyDescent="0.25">
      <c r="A5" s="8" t="s">
        <v>47</v>
      </c>
      <c r="B5" s="9">
        <v>21.5</v>
      </c>
      <c r="C5" t="str">
        <f t="shared" si="0"/>
        <v>No</v>
      </c>
      <c r="D5" t="str">
        <f t="shared" si="2"/>
        <v>No</v>
      </c>
      <c r="E5">
        <f t="shared" si="1"/>
        <v>0.85240702054011186</v>
      </c>
    </row>
    <row r="6" spans="1:9" hidden="1" x14ac:dyDescent="0.25">
      <c r="A6" s="8" t="s">
        <v>89</v>
      </c>
      <c r="B6" s="9">
        <v>28.28</v>
      </c>
      <c r="C6" t="str">
        <f t="shared" si="0"/>
        <v>No</v>
      </c>
      <c r="D6" t="str">
        <f t="shared" si="2"/>
        <v>No</v>
      </c>
      <c r="E6">
        <f t="shared" si="1"/>
        <v>1.1212125832964821</v>
      </c>
    </row>
    <row r="7" spans="1:9" hidden="1" x14ac:dyDescent="0.25">
      <c r="A7" s="8" t="s">
        <v>94</v>
      </c>
      <c r="B7" s="9">
        <v>30.72</v>
      </c>
      <c r="C7" t="str">
        <f t="shared" si="0"/>
        <v>No</v>
      </c>
      <c r="D7" t="str">
        <f t="shared" si="2"/>
        <v>No</v>
      </c>
      <c r="E7">
        <f t="shared" si="1"/>
        <v>1.2179508684182436</v>
      </c>
    </row>
    <row r="8" spans="1:9" x14ac:dyDescent="0.25">
      <c r="A8" s="8" t="s">
        <v>92</v>
      </c>
      <c r="B8" s="9">
        <v>29.11</v>
      </c>
      <c r="C8" t="str">
        <f t="shared" si="0"/>
        <v>No</v>
      </c>
      <c r="D8" t="str">
        <f t="shared" si="2"/>
        <v>Yes</v>
      </c>
      <c r="E8">
        <f t="shared" si="1"/>
        <v>1.1541194589731467</v>
      </c>
    </row>
    <row r="9" spans="1:9" x14ac:dyDescent="0.25">
      <c r="A9" s="8" t="s">
        <v>83</v>
      </c>
      <c r="B9" s="9">
        <v>26.59</v>
      </c>
      <c r="C9" t="str">
        <f t="shared" si="0"/>
        <v>No</v>
      </c>
      <c r="D9" t="str">
        <f t="shared" si="2"/>
        <v>Yes</v>
      </c>
      <c r="E9">
        <f t="shared" si="1"/>
        <v>1.0542094267982127</v>
      </c>
    </row>
    <row r="10" spans="1:9" x14ac:dyDescent="0.25">
      <c r="A10" s="8" t="s">
        <v>90</v>
      </c>
      <c r="B10" s="9">
        <v>28.34</v>
      </c>
      <c r="C10" t="str">
        <f t="shared" si="0"/>
        <v>No</v>
      </c>
      <c r="D10" t="str">
        <f t="shared" si="2"/>
        <v>Yes</v>
      </c>
      <c r="E10">
        <f t="shared" si="1"/>
        <v>1.1235913935863615</v>
      </c>
    </row>
    <row r="11" spans="1:9" x14ac:dyDescent="0.25">
      <c r="A11" s="8" t="s">
        <v>55</v>
      </c>
      <c r="B11" s="9">
        <v>23.75</v>
      </c>
      <c r="C11" t="str">
        <f t="shared" si="0"/>
        <v>No</v>
      </c>
      <c r="D11" t="str">
        <f t="shared" si="2"/>
        <v>Yes</v>
      </c>
      <c r="E11">
        <f t="shared" si="1"/>
        <v>0.94161240641058874</v>
      </c>
    </row>
    <row r="12" spans="1:9" hidden="1" x14ac:dyDescent="0.25">
      <c r="A12" s="8" t="s">
        <v>86</v>
      </c>
      <c r="B12" s="9">
        <v>27.15</v>
      </c>
      <c r="C12" t="str">
        <f t="shared" si="0"/>
        <v>No</v>
      </c>
      <c r="D12" t="str">
        <f t="shared" si="2"/>
        <v>No</v>
      </c>
      <c r="E12">
        <f t="shared" si="1"/>
        <v>1.0764116561704202</v>
      </c>
    </row>
    <row r="13" spans="1:9" hidden="1" x14ac:dyDescent="0.25">
      <c r="A13" s="8" t="s">
        <v>50</v>
      </c>
      <c r="B13" s="9">
        <v>22.86</v>
      </c>
      <c r="C13" t="str">
        <f t="shared" si="0"/>
        <v>No</v>
      </c>
      <c r="D13" t="str">
        <f t="shared" si="2"/>
        <v>No</v>
      </c>
      <c r="E13">
        <f t="shared" si="1"/>
        <v>0.9063267204440445</v>
      </c>
    </row>
    <row r="14" spans="1:9" hidden="1" x14ac:dyDescent="0.25">
      <c r="A14" s="8" t="s">
        <v>60</v>
      </c>
      <c r="B14" s="9">
        <v>24.49</v>
      </c>
      <c r="C14" t="str">
        <f t="shared" si="0"/>
        <v>Yes</v>
      </c>
      <c r="D14" t="str">
        <f t="shared" si="2"/>
        <v>No</v>
      </c>
      <c r="E14">
        <f t="shared" si="1"/>
        <v>0.97095106665243436</v>
      </c>
    </row>
    <row r="15" spans="1:9" hidden="1" x14ac:dyDescent="0.25">
      <c r="A15" s="8" t="s">
        <v>63</v>
      </c>
      <c r="B15" s="9">
        <v>24.57</v>
      </c>
      <c r="C15" t="str">
        <f t="shared" si="0"/>
        <v>Yes</v>
      </c>
      <c r="D15" t="str">
        <f t="shared" si="2"/>
        <v>No</v>
      </c>
      <c r="E15">
        <f t="shared" si="1"/>
        <v>0.97412281370560694</v>
      </c>
    </row>
    <row r="16" spans="1:9" hidden="1" x14ac:dyDescent="0.25">
      <c r="A16" s="8" t="s">
        <v>66</v>
      </c>
      <c r="B16" s="9">
        <v>24.94</v>
      </c>
      <c r="C16" t="str">
        <f t="shared" si="0"/>
        <v>No</v>
      </c>
      <c r="D16" t="str">
        <f t="shared" si="2"/>
        <v>No</v>
      </c>
      <c r="E16">
        <f t="shared" si="1"/>
        <v>0.9887921438265298</v>
      </c>
    </row>
    <row r="17" spans="1:5" hidden="1" x14ac:dyDescent="0.25">
      <c r="A17" s="8" t="s">
        <v>51</v>
      </c>
      <c r="B17" s="9">
        <v>23.31</v>
      </c>
      <c r="C17" t="str">
        <f t="shared" si="0"/>
        <v>No</v>
      </c>
      <c r="D17" t="str">
        <f t="shared" si="2"/>
        <v>No</v>
      </c>
      <c r="E17">
        <f t="shared" si="1"/>
        <v>0.92416779761813983</v>
      </c>
    </row>
    <row r="18" spans="1:5" hidden="1" x14ac:dyDescent="0.25">
      <c r="A18" s="8" t="s">
        <v>62</v>
      </c>
      <c r="B18" s="9">
        <v>24.54</v>
      </c>
      <c r="C18" t="str">
        <f t="shared" si="0"/>
        <v>No</v>
      </c>
      <c r="D18" t="str">
        <f t="shared" si="2"/>
        <v>No</v>
      </c>
      <c r="E18">
        <f t="shared" si="1"/>
        <v>0.97293340856066723</v>
      </c>
    </row>
    <row r="19" spans="1:5" hidden="1" x14ac:dyDescent="0.25">
      <c r="A19" s="8" t="s">
        <v>84</v>
      </c>
      <c r="B19" s="9">
        <v>26.84</v>
      </c>
      <c r="C19" t="str">
        <f t="shared" si="0"/>
        <v>No</v>
      </c>
      <c r="D19" t="str">
        <f t="shared" si="2"/>
        <v>No</v>
      </c>
      <c r="E19">
        <f t="shared" si="1"/>
        <v>1.0641211363393768</v>
      </c>
    </row>
    <row r="20" spans="1:5" x14ac:dyDescent="0.25">
      <c r="A20" s="8" t="s">
        <v>79</v>
      </c>
      <c r="B20" s="9">
        <v>26.15</v>
      </c>
      <c r="C20" t="str">
        <f t="shared" si="0"/>
        <v>No</v>
      </c>
      <c r="D20" t="str">
        <f t="shared" si="2"/>
        <v>Yes</v>
      </c>
      <c r="E20">
        <f t="shared" si="1"/>
        <v>1.0367648180057638</v>
      </c>
    </row>
    <row r="21" spans="1:5" x14ac:dyDescent="0.25">
      <c r="A21" s="8" t="s">
        <v>75</v>
      </c>
      <c r="B21" s="9">
        <v>25.68</v>
      </c>
      <c r="C21" t="str">
        <f t="shared" si="0"/>
        <v>No</v>
      </c>
      <c r="D21" t="str">
        <f t="shared" si="2"/>
        <v>Yes</v>
      </c>
      <c r="E21">
        <f t="shared" si="1"/>
        <v>1.0181308040683754</v>
      </c>
    </row>
    <row r="22" spans="1:5" x14ac:dyDescent="0.25">
      <c r="A22" s="8" t="s">
        <v>87</v>
      </c>
      <c r="B22" s="9">
        <v>27.35</v>
      </c>
      <c r="C22" t="str">
        <f t="shared" si="0"/>
        <v>No</v>
      </c>
      <c r="D22" t="str">
        <f t="shared" si="2"/>
        <v>Yes</v>
      </c>
      <c r="E22">
        <f t="shared" si="1"/>
        <v>1.0843410238033517</v>
      </c>
    </row>
    <row r="23" spans="1:5" hidden="1" x14ac:dyDescent="0.25">
      <c r="A23" s="8" t="s">
        <v>80</v>
      </c>
      <c r="B23" s="9">
        <v>26.27</v>
      </c>
      <c r="C23" t="str">
        <f t="shared" si="0"/>
        <v>Yes</v>
      </c>
      <c r="D23" t="str">
        <f t="shared" si="2"/>
        <v>No</v>
      </c>
      <c r="E23">
        <f t="shared" si="1"/>
        <v>1.0415224385855226</v>
      </c>
    </row>
    <row r="24" spans="1:5" hidden="1" x14ac:dyDescent="0.25">
      <c r="A24" s="8" t="s">
        <v>88</v>
      </c>
      <c r="B24" s="9">
        <v>27.5</v>
      </c>
      <c r="C24" t="str">
        <f t="shared" si="0"/>
        <v>Yes</v>
      </c>
      <c r="D24" t="str">
        <f t="shared" si="2"/>
        <v>No</v>
      </c>
      <c r="E24">
        <f t="shared" si="1"/>
        <v>1.09028804952805</v>
      </c>
    </row>
    <row r="25" spans="1:5" hidden="1" x14ac:dyDescent="0.25">
      <c r="A25" s="8" t="s">
        <v>45</v>
      </c>
      <c r="B25" s="9">
        <v>20.78</v>
      </c>
      <c r="C25" t="str">
        <f t="shared" si="0"/>
        <v>No</v>
      </c>
      <c r="D25" t="str">
        <f t="shared" si="2"/>
        <v>No</v>
      </c>
      <c r="E25">
        <f t="shared" si="1"/>
        <v>0.82386129706155931</v>
      </c>
    </row>
    <row r="26" spans="1:5" hidden="1" x14ac:dyDescent="0.25">
      <c r="A26" s="8" t="s">
        <v>73</v>
      </c>
      <c r="B26" s="9">
        <v>25.47</v>
      </c>
      <c r="C26" t="str">
        <f t="shared" si="0"/>
        <v>No</v>
      </c>
      <c r="D26" t="str">
        <f t="shared" si="2"/>
        <v>No</v>
      </c>
      <c r="E26">
        <f t="shared" si="1"/>
        <v>1.0098049680537975</v>
      </c>
    </row>
    <row r="27" spans="1:5" hidden="1" x14ac:dyDescent="0.25">
      <c r="A27" s="8" t="s">
        <v>52</v>
      </c>
      <c r="B27" s="9">
        <v>23.36</v>
      </c>
      <c r="C27" t="str">
        <f t="shared" si="0"/>
        <v>No</v>
      </c>
      <c r="D27" t="str">
        <f t="shared" si="2"/>
        <v>No</v>
      </c>
      <c r="E27">
        <f t="shared" si="1"/>
        <v>0.92615013952637271</v>
      </c>
    </row>
    <row r="28" spans="1:5" hidden="1" x14ac:dyDescent="0.25">
      <c r="A28" s="8" t="s">
        <v>65</v>
      </c>
      <c r="B28" s="9">
        <v>24.75</v>
      </c>
      <c r="C28" t="str">
        <f t="shared" si="0"/>
        <v>No</v>
      </c>
      <c r="D28" t="str">
        <f t="shared" si="2"/>
        <v>No</v>
      </c>
      <c r="E28">
        <f t="shared" si="1"/>
        <v>0.98125924457524505</v>
      </c>
    </row>
    <row r="29" spans="1:5" hidden="1" x14ac:dyDescent="0.25">
      <c r="A29" s="8" t="s">
        <v>49</v>
      </c>
      <c r="B29" s="9">
        <v>22.73</v>
      </c>
      <c r="C29" t="str">
        <f t="shared" si="0"/>
        <v>No</v>
      </c>
      <c r="D29" t="str">
        <f t="shared" si="2"/>
        <v>No</v>
      </c>
      <c r="E29">
        <f t="shared" si="1"/>
        <v>0.90117263148263926</v>
      </c>
    </row>
    <row r="30" spans="1:5" x14ac:dyDescent="0.25">
      <c r="A30" s="8" t="s">
        <v>76</v>
      </c>
      <c r="B30" s="9">
        <v>25.7</v>
      </c>
      <c r="C30" t="str">
        <f t="shared" si="0"/>
        <v>No</v>
      </c>
      <c r="D30" t="str">
        <f t="shared" si="2"/>
        <v>Yes</v>
      </c>
      <c r="E30">
        <f t="shared" si="1"/>
        <v>1.0189237408316685</v>
      </c>
    </row>
    <row r="31" spans="1:5" x14ac:dyDescent="0.25">
      <c r="A31" s="8" t="s">
        <v>71</v>
      </c>
      <c r="B31" s="9">
        <v>25.36</v>
      </c>
      <c r="C31" t="str">
        <f t="shared" si="0"/>
        <v>No</v>
      </c>
      <c r="D31" t="str">
        <f t="shared" si="2"/>
        <v>Yes</v>
      </c>
      <c r="E31">
        <f t="shared" si="1"/>
        <v>1.0054438158556853</v>
      </c>
    </row>
    <row r="32" spans="1:5" hidden="1" x14ac:dyDescent="0.25">
      <c r="A32" s="8" t="s">
        <v>58</v>
      </c>
      <c r="B32" s="9">
        <v>24.07</v>
      </c>
      <c r="C32" t="str">
        <f t="shared" si="0"/>
        <v>No</v>
      </c>
      <c r="D32" t="str">
        <f t="shared" si="2"/>
        <v>No</v>
      </c>
      <c r="E32">
        <f t="shared" si="1"/>
        <v>0.95429939462327873</v>
      </c>
    </row>
    <row r="33" spans="1:5" x14ac:dyDescent="0.25">
      <c r="A33" s="8" t="s">
        <v>72</v>
      </c>
      <c r="B33" s="9">
        <v>25.43</v>
      </c>
      <c r="C33" t="str">
        <f t="shared" si="0"/>
        <v>Yes</v>
      </c>
      <c r="D33" t="str">
        <f t="shared" si="2"/>
        <v>Yes</v>
      </c>
      <c r="E33">
        <f t="shared" si="1"/>
        <v>1.0082190945272114</v>
      </c>
    </row>
    <row r="34" spans="1:5" x14ac:dyDescent="0.25">
      <c r="A34" s="8" t="s">
        <v>48</v>
      </c>
      <c r="B34" s="9">
        <v>22.06</v>
      </c>
      <c r="C34" t="str">
        <f t="shared" ref="C34:C53" si="3">IF(OR(A34="Illinois",A34="Indiana",A34="Michigan",A34="Minnesota",A34="New York",A34="Ohio",A34="Pennsylvania",A34="Wisconsin"),"Yes","No")</f>
        <v>No</v>
      </c>
      <c r="D34" t="str">
        <f t="shared" si="2"/>
        <v>Yes</v>
      </c>
      <c r="E34">
        <f t="shared" ref="E34:E53" si="4">B34/$I$2</f>
        <v>0.87460924991231936</v>
      </c>
    </row>
    <row r="35" spans="1:5" hidden="1" x14ac:dyDescent="0.25">
      <c r="A35" s="8" t="s">
        <v>82</v>
      </c>
      <c r="B35" s="9">
        <v>26.42</v>
      </c>
      <c r="C35" t="str">
        <f t="shared" si="3"/>
        <v>No</v>
      </c>
      <c r="D35" t="str">
        <f t="shared" si="2"/>
        <v>No</v>
      </c>
      <c r="E35">
        <f t="shared" si="4"/>
        <v>1.0474694643102214</v>
      </c>
    </row>
    <row r="36" spans="1:5" hidden="1" x14ac:dyDescent="0.25">
      <c r="A36" s="8" t="s">
        <v>74</v>
      </c>
      <c r="B36" s="9">
        <v>25.57</v>
      </c>
      <c r="C36" t="str">
        <f t="shared" si="3"/>
        <v>Yes</v>
      </c>
      <c r="D36" t="str">
        <f t="shared" si="2"/>
        <v>No</v>
      </c>
      <c r="E36">
        <f t="shared" si="4"/>
        <v>1.0137696518702632</v>
      </c>
    </row>
    <row r="37" spans="1:5" hidden="1" x14ac:dyDescent="0.25">
      <c r="A37" s="8" t="s">
        <v>56</v>
      </c>
      <c r="B37" s="9">
        <v>23.78</v>
      </c>
      <c r="C37" t="str">
        <f t="shared" si="3"/>
        <v>No</v>
      </c>
      <c r="D37" t="str">
        <f t="shared" si="2"/>
        <v>No</v>
      </c>
      <c r="E37">
        <f t="shared" si="4"/>
        <v>0.94280181155552845</v>
      </c>
    </row>
    <row r="38" spans="1:5" hidden="1" x14ac:dyDescent="0.25">
      <c r="A38" s="8" t="s">
        <v>85</v>
      </c>
      <c r="B38" s="9">
        <v>26.86</v>
      </c>
      <c r="C38" t="str">
        <f t="shared" si="3"/>
        <v>No</v>
      </c>
      <c r="D38" t="str">
        <f t="shared" si="2"/>
        <v>No</v>
      </c>
      <c r="E38">
        <f t="shared" si="4"/>
        <v>1.0649140731026701</v>
      </c>
    </row>
    <row r="39" spans="1:5" x14ac:dyDescent="0.25">
      <c r="A39" s="8" t="s">
        <v>77</v>
      </c>
      <c r="B39" s="9">
        <v>25.99</v>
      </c>
      <c r="C39" t="str">
        <f t="shared" si="3"/>
        <v>Yes</v>
      </c>
      <c r="D39" t="str">
        <f t="shared" si="2"/>
        <v>Yes</v>
      </c>
      <c r="E39">
        <f t="shared" si="4"/>
        <v>1.0304213238994189</v>
      </c>
    </row>
    <row r="40" spans="1:5" hidden="1" x14ac:dyDescent="0.25">
      <c r="A40" s="8" t="s">
        <v>44</v>
      </c>
      <c r="B40" s="9">
        <v>13.39</v>
      </c>
      <c r="C40" t="str">
        <f t="shared" si="3"/>
        <v>No</v>
      </c>
      <c r="D40" t="str">
        <f t="shared" si="2"/>
        <v>No</v>
      </c>
      <c r="E40">
        <f t="shared" si="4"/>
        <v>0.53087116302474879</v>
      </c>
    </row>
    <row r="41" spans="1:5" x14ac:dyDescent="0.25">
      <c r="A41" s="8" t="s">
        <v>67</v>
      </c>
      <c r="B41" s="9">
        <v>24.94</v>
      </c>
      <c r="C41" t="str">
        <f t="shared" si="3"/>
        <v>No</v>
      </c>
      <c r="D41" t="str">
        <f t="shared" si="2"/>
        <v>Yes</v>
      </c>
      <c r="E41">
        <f t="shared" si="4"/>
        <v>0.9887921438265298</v>
      </c>
    </row>
    <row r="42" spans="1:5" x14ac:dyDescent="0.25">
      <c r="A42" s="8" t="s">
        <v>68</v>
      </c>
      <c r="B42" s="9">
        <v>24.95</v>
      </c>
      <c r="C42" t="str">
        <f t="shared" si="3"/>
        <v>No</v>
      </c>
      <c r="D42" t="str">
        <f t="shared" si="2"/>
        <v>Yes</v>
      </c>
      <c r="E42">
        <f t="shared" si="4"/>
        <v>0.98918861220817633</v>
      </c>
    </row>
    <row r="43" spans="1:5" hidden="1" x14ac:dyDescent="0.25">
      <c r="A43" s="8" t="s">
        <v>54</v>
      </c>
      <c r="B43" s="9">
        <v>23.74</v>
      </c>
      <c r="C43" t="str">
        <f t="shared" si="3"/>
        <v>No</v>
      </c>
      <c r="D43" t="str">
        <f t="shared" si="2"/>
        <v>No</v>
      </c>
      <c r="E43">
        <f t="shared" si="4"/>
        <v>0.9412159380289421</v>
      </c>
    </row>
    <row r="44" spans="1:5" hidden="1" x14ac:dyDescent="0.25">
      <c r="A44" s="8" t="s">
        <v>53</v>
      </c>
      <c r="B44" s="9">
        <v>23.68</v>
      </c>
      <c r="C44" t="str">
        <f t="shared" si="3"/>
        <v>No</v>
      </c>
      <c r="D44" t="str">
        <f t="shared" si="2"/>
        <v>No</v>
      </c>
      <c r="E44">
        <f t="shared" si="4"/>
        <v>0.93883712773906269</v>
      </c>
    </row>
    <row r="45" spans="1:5" hidden="1" x14ac:dyDescent="0.25">
      <c r="A45" s="8" t="s">
        <v>91</v>
      </c>
      <c r="B45" s="9">
        <v>28.71</v>
      </c>
      <c r="C45" t="str">
        <f t="shared" si="3"/>
        <v>No</v>
      </c>
      <c r="D45" t="str">
        <f t="shared" si="2"/>
        <v>No</v>
      </c>
      <c r="E45">
        <f t="shared" si="4"/>
        <v>1.1382607237072844</v>
      </c>
    </row>
    <row r="46" spans="1:5" hidden="1" x14ac:dyDescent="0.25">
      <c r="A46" s="8" t="s">
        <v>81</v>
      </c>
      <c r="B46" s="9">
        <v>26.38</v>
      </c>
      <c r="C46" t="str">
        <f t="shared" si="3"/>
        <v>No</v>
      </c>
      <c r="D46" t="str">
        <f t="shared" si="2"/>
        <v>No</v>
      </c>
      <c r="E46">
        <f t="shared" si="4"/>
        <v>1.0458835907836348</v>
      </c>
    </row>
    <row r="47" spans="1:5" hidden="1" x14ac:dyDescent="0.25">
      <c r="A47" s="8" t="s">
        <v>78</v>
      </c>
      <c r="B47" s="9">
        <v>26</v>
      </c>
      <c r="C47" t="str">
        <f t="shared" si="3"/>
        <v>No</v>
      </c>
      <c r="D47" t="str">
        <f t="shared" si="2"/>
        <v>No</v>
      </c>
      <c r="E47">
        <f t="shared" si="4"/>
        <v>1.0308177922810655</v>
      </c>
    </row>
    <row r="48" spans="1:5" hidden="1" x14ac:dyDescent="0.25">
      <c r="A48" s="8" t="s">
        <v>46</v>
      </c>
      <c r="B48" s="9">
        <v>21.2</v>
      </c>
      <c r="C48" t="str">
        <f t="shared" si="3"/>
        <v>No</v>
      </c>
      <c r="D48" t="str">
        <f t="shared" si="2"/>
        <v>No</v>
      </c>
      <c r="E48">
        <f t="shared" si="4"/>
        <v>0.84051296909071493</v>
      </c>
    </row>
    <row r="49" spans="1:5" x14ac:dyDescent="0.25">
      <c r="A49" s="8" t="s">
        <v>64</v>
      </c>
      <c r="B49" s="9">
        <v>24.61</v>
      </c>
      <c r="C49" t="str">
        <f t="shared" si="3"/>
        <v>No</v>
      </c>
      <c r="D49" t="str">
        <f t="shared" si="2"/>
        <v>Yes</v>
      </c>
      <c r="E49">
        <f t="shared" si="4"/>
        <v>0.97570868723219317</v>
      </c>
    </row>
    <row r="50" spans="1:5" hidden="1" x14ac:dyDescent="0.25">
      <c r="A50" s="8" t="s">
        <v>93</v>
      </c>
      <c r="B50" s="9">
        <v>29.71</v>
      </c>
      <c r="C50" t="str">
        <f t="shared" si="3"/>
        <v>No</v>
      </c>
      <c r="D50" t="str">
        <f t="shared" si="2"/>
        <v>No</v>
      </c>
      <c r="E50">
        <f t="shared" si="4"/>
        <v>1.1779075618719406</v>
      </c>
    </row>
    <row r="51" spans="1:5" hidden="1" x14ac:dyDescent="0.25">
      <c r="A51" s="8" t="s">
        <v>59</v>
      </c>
      <c r="B51" s="9">
        <v>24.36</v>
      </c>
      <c r="C51" t="str">
        <f t="shared" si="3"/>
        <v>No</v>
      </c>
      <c r="D51" t="str">
        <f t="shared" si="2"/>
        <v>No</v>
      </c>
      <c r="E51">
        <f t="shared" si="4"/>
        <v>0.96579697769102901</v>
      </c>
    </row>
    <row r="52" spans="1:5" hidden="1" x14ac:dyDescent="0.25">
      <c r="A52" s="8" t="s">
        <v>69</v>
      </c>
      <c r="B52" s="9">
        <v>24.95</v>
      </c>
      <c r="C52" t="str">
        <f t="shared" si="3"/>
        <v>Yes</v>
      </c>
      <c r="D52" t="str">
        <f t="shared" si="2"/>
        <v>No</v>
      </c>
      <c r="E52">
        <f t="shared" si="4"/>
        <v>0.98918861220817633</v>
      </c>
    </row>
    <row r="53" spans="1:5" hidden="1" x14ac:dyDescent="0.25">
      <c r="A53" s="8" t="s">
        <v>95</v>
      </c>
      <c r="B53" s="9">
        <v>33.1</v>
      </c>
      <c r="C53" t="str">
        <f t="shared" si="3"/>
        <v>No</v>
      </c>
      <c r="D53" t="str">
        <f t="shared" si="2"/>
        <v>No</v>
      </c>
      <c r="E53">
        <f t="shared" si="4"/>
        <v>1.3123103432501257</v>
      </c>
    </row>
  </sheetData>
  <autoFilter ref="A1:E53" xr:uid="{28BA3D65-D5CB-4242-96AE-E0ACEDE7902B}">
    <filterColumn colId="3">
      <filters>
        <filter val="Yes"/>
      </filters>
    </filterColumn>
    <sortState xmlns:xlrd2="http://schemas.microsoft.com/office/spreadsheetml/2017/richdata2" ref="A2:E53">
      <sortCondition ref="A1:A53"/>
    </sortState>
  </autoFilter>
  <pageMargins left="0.7" right="0.7" top="0.75" bottom="0.75" header="0.3" footer="0.3"/>
  <ignoredErrors>
    <ignoredError sqref="I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2E9B-CE90-4054-9386-13AE3F5769D8}">
  <dimension ref="A1:H53"/>
  <sheetViews>
    <sheetView topLeftCell="A14" zoomScale="85" zoomScaleNormal="85" workbookViewId="0">
      <selection activeCell="G26" sqref="G25:G26"/>
    </sheetView>
  </sheetViews>
  <sheetFormatPr defaultRowHeight="15" x14ac:dyDescent="0.25"/>
  <cols>
    <col min="1" max="1" width="48.7109375" customWidth="1"/>
    <col min="2" max="2" width="22.7109375" bestFit="1" customWidth="1"/>
    <col min="3" max="3" width="11" customWidth="1"/>
    <col min="4" max="4" width="14" bestFit="1" customWidth="1"/>
    <col min="5" max="5" width="15.140625" bestFit="1" customWidth="1"/>
    <col min="6" max="6" width="11.140625" bestFit="1" customWidth="1"/>
    <col min="7" max="7" width="15.42578125" bestFit="1" customWidth="1"/>
    <col min="8" max="8" width="17" bestFit="1" customWidth="1"/>
  </cols>
  <sheetData>
    <row r="1" spans="1:8" x14ac:dyDescent="0.25">
      <c r="A1" t="s">
        <v>99</v>
      </c>
      <c r="B1" t="s">
        <v>98</v>
      </c>
      <c r="C1" t="s">
        <v>101</v>
      </c>
      <c r="D1" t="s">
        <v>102</v>
      </c>
      <c r="E1" t="s">
        <v>104</v>
      </c>
      <c r="F1" t="s">
        <v>105</v>
      </c>
      <c r="G1" t="s">
        <v>106</v>
      </c>
      <c r="H1" t="s">
        <v>103</v>
      </c>
    </row>
    <row r="2" spans="1:8" x14ac:dyDescent="0.25">
      <c r="A2" t="s">
        <v>100</v>
      </c>
      <c r="B2" t="s">
        <v>60</v>
      </c>
      <c r="C2">
        <v>0.97095106665243436</v>
      </c>
      <c r="D2" s="4">
        <f t="shared" ref="D2:D24" si="0">C2*$D$32</f>
        <v>42.411142591378329</v>
      </c>
      <c r="E2" t="s">
        <v>108</v>
      </c>
      <c r="F2">
        <v>2023</v>
      </c>
      <c r="G2">
        <f>1</f>
        <v>1</v>
      </c>
      <c r="H2" s="11">
        <f>D2*G2</f>
        <v>42.411142591378329</v>
      </c>
    </row>
    <row r="3" spans="1:8" x14ac:dyDescent="0.25">
      <c r="A3" t="s">
        <v>100</v>
      </c>
      <c r="B3" t="s">
        <v>63</v>
      </c>
      <c r="C3">
        <v>0.97412281370560694</v>
      </c>
      <c r="D3" s="4">
        <f t="shared" si="0"/>
        <v>42.549684502660909</v>
      </c>
      <c r="E3" t="s">
        <v>108</v>
      </c>
      <c r="F3">
        <v>2023</v>
      </c>
      <c r="G3">
        <f>1</f>
        <v>1</v>
      </c>
      <c r="H3" s="11">
        <f t="shared" ref="H3:H53" si="1">D3*G3</f>
        <v>42.549684502660909</v>
      </c>
    </row>
    <row r="4" spans="1:8" x14ac:dyDescent="0.25">
      <c r="A4" t="s">
        <v>100</v>
      </c>
      <c r="B4" t="s">
        <v>80</v>
      </c>
      <c r="C4">
        <v>1.0415224385855226</v>
      </c>
      <c r="D4" s="4">
        <f t="shared" si="0"/>
        <v>45.493700117415628</v>
      </c>
      <c r="E4" t="s">
        <v>108</v>
      </c>
      <c r="F4">
        <v>2023</v>
      </c>
      <c r="G4">
        <f>1</f>
        <v>1</v>
      </c>
      <c r="H4" s="11">
        <f t="shared" si="1"/>
        <v>45.493700117415628</v>
      </c>
    </row>
    <row r="5" spans="1:8" x14ac:dyDescent="0.25">
      <c r="A5" t="s">
        <v>100</v>
      </c>
      <c r="B5" t="s">
        <v>88</v>
      </c>
      <c r="C5">
        <v>1.09028804952805</v>
      </c>
      <c r="D5" s="4">
        <f t="shared" si="0"/>
        <v>47.623782003385223</v>
      </c>
      <c r="E5" t="s">
        <v>108</v>
      </c>
      <c r="F5">
        <v>2023</v>
      </c>
      <c r="G5">
        <f>1</f>
        <v>1</v>
      </c>
      <c r="H5" s="11">
        <f t="shared" si="1"/>
        <v>47.623782003385223</v>
      </c>
    </row>
    <row r="6" spans="1:8" x14ac:dyDescent="0.25">
      <c r="A6" t="s">
        <v>100</v>
      </c>
      <c r="B6" t="s">
        <v>72</v>
      </c>
      <c r="C6">
        <v>1.0082190945272114</v>
      </c>
      <c r="D6" s="4">
        <f t="shared" si="0"/>
        <v>44.03901004894859</v>
      </c>
      <c r="E6" t="s">
        <v>108</v>
      </c>
      <c r="F6">
        <v>2023</v>
      </c>
      <c r="G6">
        <f>1</f>
        <v>1</v>
      </c>
      <c r="H6" s="11">
        <f t="shared" si="1"/>
        <v>44.03901004894859</v>
      </c>
    </row>
    <row r="7" spans="1:8" x14ac:dyDescent="0.25">
      <c r="A7" t="s">
        <v>100</v>
      </c>
      <c r="B7" t="s">
        <v>74</v>
      </c>
      <c r="C7">
        <v>1.0137696518702632</v>
      </c>
      <c r="D7" s="4">
        <f t="shared" si="0"/>
        <v>44.2814583936931</v>
      </c>
      <c r="E7" t="s">
        <v>108</v>
      </c>
      <c r="F7">
        <v>2023</v>
      </c>
      <c r="G7">
        <f>1</f>
        <v>1</v>
      </c>
      <c r="H7" s="11">
        <f t="shared" si="1"/>
        <v>44.2814583936931</v>
      </c>
    </row>
    <row r="8" spans="1:8" x14ac:dyDescent="0.25">
      <c r="A8" t="s">
        <v>100</v>
      </c>
      <c r="B8" t="s">
        <v>77</v>
      </c>
      <c r="C8">
        <v>1.0304213238994189</v>
      </c>
      <c r="D8" s="4">
        <f t="shared" si="0"/>
        <v>45.008803427926615</v>
      </c>
      <c r="E8" t="s">
        <v>108</v>
      </c>
      <c r="F8">
        <v>2023</v>
      </c>
      <c r="G8">
        <f>1</f>
        <v>1</v>
      </c>
      <c r="H8" s="11">
        <f t="shared" si="1"/>
        <v>45.008803427926615</v>
      </c>
    </row>
    <row r="9" spans="1:8" x14ac:dyDescent="0.25">
      <c r="A9" t="s">
        <v>100</v>
      </c>
      <c r="B9" t="s">
        <v>69</v>
      </c>
      <c r="C9">
        <v>0.98918861220817633</v>
      </c>
      <c r="D9" s="4">
        <f t="shared" si="0"/>
        <v>43.207758581253145</v>
      </c>
      <c r="E9" t="s">
        <v>108</v>
      </c>
      <c r="F9">
        <v>2023</v>
      </c>
      <c r="G9">
        <f>1</f>
        <v>1</v>
      </c>
      <c r="H9" s="11">
        <f t="shared" si="1"/>
        <v>43.207758581253145</v>
      </c>
    </row>
    <row r="10" spans="1:8" x14ac:dyDescent="0.25">
      <c r="A10" t="s">
        <v>97</v>
      </c>
      <c r="B10" t="s">
        <v>92</v>
      </c>
      <c r="C10">
        <v>1.1541194589731467</v>
      </c>
      <c r="D10" s="4">
        <f t="shared" si="0"/>
        <v>50.411937967947047</v>
      </c>
      <c r="E10" t="s">
        <v>108</v>
      </c>
      <c r="F10">
        <v>2023</v>
      </c>
      <c r="G10">
        <f>1</f>
        <v>1</v>
      </c>
      <c r="H10" s="11">
        <f t="shared" si="1"/>
        <v>50.411937967947047</v>
      </c>
    </row>
    <row r="11" spans="1:8" x14ac:dyDescent="0.25">
      <c r="A11" t="s">
        <v>97</v>
      </c>
      <c r="B11" t="s">
        <v>83</v>
      </c>
      <c r="C11">
        <v>1.0542094267982127</v>
      </c>
      <c r="D11" s="4">
        <f t="shared" si="0"/>
        <v>46.047867762545934</v>
      </c>
      <c r="E11" t="s">
        <v>108</v>
      </c>
      <c r="F11">
        <v>2023</v>
      </c>
      <c r="G11">
        <f>1</f>
        <v>1</v>
      </c>
      <c r="H11" s="11">
        <f t="shared" si="1"/>
        <v>46.047867762545934</v>
      </c>
    </row>
    <row r="12" spans="1:8" x14ac:dyDescent="0.25">
      <c r="A12" t="s">
        <v>97</v>
      </c>
      <c r="B12" t="s">
        <v>90</v>
      </c>
      <c r="C12">
        <v>1.1235913935863615</v>
      </c>
      <c r="D12" s="4">
        <f t="shared" si="0"/>
        <v>49.078472071852268</v>
      </c>
      <c r="E12" t="s">
        <v>108</v>
      </c>
      <c r="F12">
        <v>2023</v>
      </c>
      <c r="G12">
        <f>1</f>
        <v>1</v>
      </c>
      <c r="H12" s="11">
        <f t="shared" si="1"/>
        <v>49.078472071852268</v>
      </c>
    </row>
    <row r="13" spans="1:8" x14ac:dyDescent="0.25">
      <c r="A13" t="s">
        <v>97</v>
      </c>
      <c r="B13" t="s">
        <v>55</v>
      </c>
      <c r="C13">
        <v>0.94161240641058874</v>
      </c>
      <c r="D13" s="4">
        <f t="shared" si="0"/>
        <v>41.129629912014515</v>
      </c>
      <c r="E13" t="s">
        <v>108</v>
      </c>
      <c r="F13">
        <v>2023</v>
      </c>
      <c r="G13">
        <f>1</f>
        <v>1</v>
      </c>
      <c r="H13" s="11">
        <f t="shared" si="1"/>
        <v>41.129629912014515</v>
      </c>
    </row>
    <row r="14" spans="1:8" x14ac:dyDescent="0.25">
      <c r="A14" t="s">
        <v>97</v>
      </c>
      <c r="B14" t="s">
        <v>79</v>
      </c>
      <c r="C14">
        <v>1.0367648180057638</v>
      </c>
      <c r="D14" s="4">
        <f t="shared" si="0"/>
        <v>45.285887250491761</v>
      </c>
      <c r="E14" t="s">
        <v>108</v>
      </c>
      <c r="F14">
        <v>2023</v>
      </c>
      <c r="G14">
        <f>1</f>
        <v>1</v>
      </c>
      <c r="H14" s="11">
        <f t="shared" si="1"/>
        <v>45.285887250491761</v>
      </c>
    </row>
    <row r="15" spans="1:8" x14ac:dyDescent="0.25">
      <c r="A15" t="s">
        <v>97</v>
      </c>
      <c r="B15" t="s">
        <v>75</v>
      </c>
      <c r="C15">
        <v>1.0181308040683754</v>
      </c>
      <c r="D15" s="4">
        <f t="shared" si="0"/>
        <v>44.471953521706638</v>
      </c>
      <c r="E15" t="s">
        <v>108</v>
      </c>
      <c r="F15">
        <v>2023</v>
      </c>
      <c r="G15">
        <f>1</f>
        <v>1</v>
      </c>
      <c r="H15" s="11">
        <f t="shared" si="1"/>
        <v>44.471953521706638</v>
      </c>
    </row>
    <row r="16" spans="1:8" x14ac:dyDescent="0.25">
      <c r="A16" t="s">
        <v>97</v>
      </c>
      <c r="B16" t="s">
        <v>87</v>
      </c>
      <c r="C16">
        <v>1.0843410238033517</v>
      </c>
      <c r="D16" s="4">
        <f t="shared" si="0"/>
        <v>47.364015919730406</v>
      </c>
      <c r="E16" t="s">
        <v>108</v>
      </c>
      <c r="F16">
        <v>2023</v>
      </c>
      <c r="G16">
        <f>1</f>
        <v>1</v>
      </c>
      <c r="H16" s="11">
        <f t="shared" si="1"/>
        <v>47.364015919730406</v>
      </c>
    </row>
    <row r="17" spans="1:8" x14ac:dyDescent="0.25">
      <c r="A17" t="s">
        <v>97</v>
      </c>
      <c r="B17" t="s">
        <v>76</v>
      </c>
      <c r="C17">
        <v>1.0189237408316685</v>
      </c>
      <c r="D17" s="4">
        <f t="shared" si="0"/>
        <v>44.506588999527281</v>
      </c>
      <c r="E17" t="s">
        <v>108</v>
      </c>
      <c r="F17">
        <v>2023</v>
      </c>
      <c r="G17">
        <f>1</f>
        <v>1</v>
      </c>
      <c r="H17" s="11">
        <f t="shared" si="1"/>
        <v>44.506588999527281</v>
      </c>
    </row>
    <row r="18" spans="1:8" x14ac:dyDescent="0.25">
      <c r="A18" t="s">
        <v>97</v>
      </c>
      <c r="B18" t="s">
        <v>71</v>
      </c>
      <c r="C18">
        <v>1.0054438158556853</v>
      </c>
      <c r="D18" s="4">
        <f t="shared" si="0"/>
        <v>43.917785876576332</v>
      </c>
      <c r="E18" t="s">
        <v>108</v>
      </c>
      <c r="F18">
        <v>2023</v>
      </c>
      <c r="G18">
        <f>1</f>
        <v>1</v>
      </c>
      <c r="H18" s="11">
        <f t="shared" si="1"/>
        <v>43.917785876576332</v>
      </c>
    </row>
    <row r="19" spans="1:8" x14ac:dyDescent="0.25">
      <c r="A19" t="s">
        <v>97</v>
      </c>
      <c r="B19" t="s">
        <v>72</v>
      </c>
      <c r="C19">
        <v>1.0082190945272114</v>
      </c>
      <c r="D19" s="4">
        <f t="shared" si="0"/>
        <v>44.03901004894859</v>
      </c>
      <c r="E19" t="s">
        <v>108</v>
      </c>
      <c r="F19">
        <v>2023</v>
      </c>
      <c r="G19">
        <f>1</f>
        <v>1</v>
      </c>
      <c r="H19" s="11">
        <f t="shared" si="1"/>
        <v>44.03901004894859</v>
      </c>
    </row>
    <row r="20" spans="1:8" x14ac:dyDescent="0.25">
      <c r="A20" t="s">
        <v>97</v>
      </c>
      <c r="B20" t="s">
        <v>48</v>
      </c>
      <c r="C20">
        <v>0.87460924991231936</v>
      </c>
      <c r="D20" s="4">
        <f t="shared" si="0"/>
        <v>38.202932036170111</v>
      </c>
      <c r="E20" t="s">
        <v>108</v>
      </c>
      <c r="F20">
        <v>2023</v>
      </c>
      <c r="G20">
        <f>1</f>
        <v>1</v>
      </c>
      <c r="H20" s="11">
        <f t="shared" si="1"/>
        <v>38.202932036170111</v>
      </c>
    </row>
    <row r="21" spans="1:8" x14ac:dyDescent="0.25">
      <c r="A21" t="s">
        <v>97</v>
      </c>
      <c r="B21" t="s">
        <v>77</v>
      </c>
      <c r="C21">
        <v>1.0304213238994189</v>
      </c>
      <c r="D21" s="4">
        <f t="shared" si="0"/>
        <v>45.008803427926615</v>
      </c>
      <c r="E21" t="s">
        <v>108</v>
      </c>
      <c r="F21">
        <v>2023</v>
      </c>
      <c r="G21">
        <f>1</f>
        <v>1</v>
      </c>
      <c r="H21" s="11">
        <f t="shared" si="1"/>
        <v>45.008803427926615</v>
      </c>
    </row>
    <row r="22" spans="1:8" x14ac:dyDescent="0.25">
      <c r="A22" t="s">
        <v>97</v>
      </c>
      <c r="B22" t="s">
        <v>67</v>
      </c>
      <c r="C22">
        <v>0.9887921438265298</v>
      </c>
      <c r="D22" s="4">
        <f t="shared" si="0"/>
        <v>43.190440842342824</v>
      </c>
      <c r="E22" t="s">
        <v>108</v>
      </c>
      <c r="F22">
        <v>2023</v>
      </c>
      <c r="G22">
        <f>1</f>
        <v>1</v>
      </c>
      <c r="H22" s="11">
        <f t="shared" si="1"/>
        <v>43.190440842342824</v>
      </c>
    </row>
    <row r="23" spans="1:8" x14ac:dyDescent="0.25">
      <c r="A23" t="s">
        <v>97</v>
      </c>
      <c r="B23" t="s">
        <v>68</v>
      </c>
      <c r="C23">
        <v>0.98918861220817633</v>
      </c>
      <c r="D23" s="4">
        <f t="shared" si="0"/>
        <v>43.207758581253145</v>
      </c>
      <c r="E23" t="s">
        <v>108</v>
      </c>
      <c r="F23">
        <v>2023</v>
      </c>
      <c r="G23">
        <f>1</f>
        <v>1</v>
      </c>
      <c r="H23" s="11">
        <f t="shared" si="1"/>
        <v>43.207758581253145</v>
      </c>
    </row>
    <row r="24" spans="1:8" x14ac:dyDescent="0.25">
      <c r="A24" t="s">
        <v>97</v>
      </c>
      <c r="B24" t="s">
        <v>64</v>
      </c>
      <c r="C24">
        <v>0.97570868723219317</v>
      </c>
      <c r="D24" s="4">
        <f t="shared" si="0"/>
        <v>42.618955458302196</v>
      </c>
      <c r="E24" t="s">
        <v>108</v>
      </c>
      <c r="F24">
        <v>2023</v>
      </c>
      <c r="G24">
        <f>1</f>
        <v>1</v>
      </c>
      <c r="H24" s="11">
        <f t="shared" si="1"/>
        <v>42.618955458302196</v>
      </c>
    </row>
    <row r="25" spans="1:8" x14ac:dyDescent="0.25">
      <c r="A25" t="s">
        <v>110</v>
      </c>
      <c r="B25" t="s">
        <v>17</v>
      </c>
      <c r="D25">
        <v>46.2</v>
      </c>
      <c r="E25" t="s">
        <v>109</v>
      </c>
      <c r="F25">
        <v>2023</v>
      </c>
      <c r="G25">
        <v>1.0821000000000001</v>
      </c>
      <c r="H25" s="11">
        <f t="shared" si="1"/>
        <v>49.993020000000008</v>
      </c>
    </row>
    <row r="26" spans="1:8" x14ac:dyDescent="0.25">
      <c r="A26" t="s">
        <v>110</v>
      </c>
      <c r="B26" t="s">
        <v>15</v>
      </c>
      <c r="D26" s="12">
        <f>384.2*0.1342</f>
        <v>51.559640000000002</v>
      </c>
      <c r="E26" t="s">
        <v>109</v>
      </c>
      <c r="F26">
        <v>2023</v>
      </c>
      <c r="G26">
        <v>1.0821000000000001</v>
      </c>
      <c r="H26" s="11">
        <f t="shared" si="1"/>
        <v>55.792686444000005</v>
      </c>
    </row>
    <row r="27" spans="1:8" x14ac:dyDescent="0.25">
      <c r="A27" t="s">
        <v>110</v>
      </c>
      <c r="B27" t="s">
        <v>27</v>
      </c>
      <c r="D27">
        <v>41.5</v>
      </c>
      <c r="E27" t="s">
        <v>109</v>
      </c>
      <c r="F27">
        <v>2023</v>
      </c>
      <c r="G27">
        <v>1.0821000000000001</v>
      </c>
      <c r="H27" s="11">
        <f t="shared" si="1"/>
        <v>44.907150000000001</v>
      </c>
    </row>
    <row r="28" spans="1:8" x14ac:dyDescent="0.25">
      <c r="A28" t="s">
        <v>110</v>
      </c>
      <c r="B28" t="s">
        <v>18</v>
      </c>
      <c r="D28">
        <v>44.6</v>
      </c>
      <c r="E28" t="s">
        <v>109</v>
      </c>
      <c r="F28">
        <v>2023</v>
      </c>
      <c r="G28">
        <v>1.0821000000000001</v>
      </c>
      <c r="H28" s="11">
        <f t="shared" si="1"/>
        <v>48.261660000000006</v>
      </c>
    </row>
    <row r="29" spans="1:8" x14ac:dyDescent="0.25">
      <c r="A29" t="s">
        <v>110</v>
      </c>
      <c r="B29" t="s">
        <v>25</v>
      </c>
      <c r="D29">
        <v>15.2</v>
      </c>
      <c r="E29" t="s">
        <v>109</v>
      </c>
      <c r="F29">
        <v>2023</v>
      </c>
      <c r="G29">
        <v>1.0821000000000001</v>
      </c>
      <c r="H29" s="11">
        <f t="shared" si="1"/>
        <v>16.44792</v>
      </c>
    </row>
    <row r="30" spans="1:8" x14ac:dyDescent="0.25">
      <c r="A30" t="s">
        <v>110</v>
      </c>
      <c r="B30" t="s">
        <v>26</v>
      </c>
      <c r="D30">
        <v>30.4</v>
      </c>
      <c r="E30" t="s">
        <v>109</v>
      </c>
      <c r="F30">
        <v>2023</v>
      </c>
      <c r="G30">
        <v>1.0821000000000001</v>
      </c>
      <c r="H30" s="11">
        <f t="shared" si="1"/>
        <v>32.89584</v>
      </c>
    </row>
    <row r="31" spans="1:8" x14ac:dyDescent="0.25">
      <c r="A31" t="s">
        <v>110</v>
      </c>
      <c r="B31" t="s">
        <v>20</v>
      </c>
      <c r="D31">
        <v>14.6</v>
      </c>
      <c r="E31" t="s">
        <v>109</v>
      </c>
      <c r="F31">
        <v>2023</v>
      </c>
      <c r="G31">
        <v>1.0821000000000001</v>
      </c>
      <c r="H31" s="11">
        <f t="shared" si="1"/>
        <v>15.79866</v>
      </c>
    </row>
    <row r="32" spans="1:8" x14ac:dyDescent="0.25">
      <c r="A32" t="s">
        <v>0</v>
      </c>
      <c r="B32" t="s">
        <v>107</v>
      </c>
      <c r="D32">
        <v>43.68</v>
      </c>
      <c r="E32" t="s">
        <v>108</v>
      </c>
      <c r="F32">
        <v>2023</v>
      </c>
      <c r="G32">
        <v>1</v>
      </c>
      <c r="H32" s="11">
        <f t="shared" si="1"/>
        <v>43.68</v>
      </c>
    </row>
    <row r="33" spans="1:8" x14ac:dyDescent="0.25">
      <c r="A33" t="s">
        <v>111</v>
      </c>
      <c r="B33" t="s">
        <v>17</v>
      </c>
      <c r="D33">
        <v>46.2</v>
      </c>
      <c r="E33" t="s">
        <v>109</v>
      </c>
      <c r="F33">
        <v>2023</v>
      </c>
      <c r="G33">
        <v>1.0822000000000001</v>
      </c>
      <c r="H33" s="11">
        <f t="shared" si="1"/>
        <v>49.997640000000004</v>
      </c>
    </row>
    <row r="34" spans="1:8" x14ac:dyDescent="0.25">
      <c r="A34" t="s">
        <v>111</v>
      </c>
      <c r="B34" t="s">
        <v>15</v>
      </c>
      <c r="D34" s="12">
        <f>384.2*0.1342</f>
        <v>51.559640000000002</v>
      </c>
      <c r="E34" t="s">
        <v>109</v>
      </c>
      <c r="F34">
        <v>2023</v>
      </c>
      <c r="G34">
        <v>1.0822000000000001</v>
      </c>
      <c r="H34" s="11">
        <f t="shared" si="1"/>
        <v>55.797842408000001</v>
      </c>
    </row>
    <row r="35" spans="1:8" x14ac:dyDescent="0.25">
      <c r="A35" t="s">
        <v>111</v>
      </c>
      <c r="B35" t="s">
        <v>27</v>
      </c>
      <c r="D35">
        <v>41.5</v>
      </c>
      <c r="E35" t="s">
        <v>109</v>
      </c>
      <c r="F35">
        <v>2023</v>
      </c>
      <c r="G35">
        <v>1.0822000000000001</v>
      </c>
      <c r="H35" s="11">
        <f t="shared" si="1"/>
        <v>44.911300000000004</v>
      </c>
    </row>
    <row r="36" spans="1:8" x14ac:dyDescent="0.25">
      <c r="A36" t="s">
        <v>111</v>
      </c>
      <c r="B36" t="s">
        <v>18</v>
      </c>
      <c r="D36">
        <v>44.6</v>
      </c>
      <c r="E36" t="s">
        <v>109</v>
      </c>
      <c r="F36">
        <v>2023</v>
      </c>
      <c r="G36">
        <v>1.0822000000000001</v>
      </c>
      <c r="H36" s="11">
        <f t="shared" si="1"/>
        <v>48.266120000000001</v>
      </c>
    </row>
    <row r="37" spans="1:8" x14ac:dyDescent="0.25">
      <c r="A37" t="s">
        <v>111</v>
      </c>
      <c r="B37" t="s">
        <v>25</v>
      </c>
      <c r="D37">
        <v>15.2</v>
      </c>
      <c r="E37" t="s">
        <v>109</v>
      </c>
      <c r="F37">
        <v>2023</v>
      </c>
      <c r="G37">
        <v>1.0822000000000001</v>
      </c>
      <c r="H37" s="11">
        <f t="shared" si="1"/>
        <v>16.449439999999999</v>
      </c>
    </row>
    <row r="38" spans="1:8" x14ac:dyDescent="0.25">
      <c r="A38" t="s">
        <v>111</v>
      </c>
      <c r="B38" t="s">
        <v>26</v>
      </c>
      <c r="D38">
        <v>30.4</v>
      </c>
      <c r="E38" t="s">
        <v>109</v>
      </c>
      <c r="F38">
        <v>2023</v>
      </c>
      <c r="G38">
        <v>1.0822000000000001</v>
      </c>
      <c r="H38" s="11">
        <f t="shared" si="1"/>
        <v>32.898879999999998</v>
      </c>
    </row>
    <row r="39" spans="1:8" x14ac:dyDescent="0.25">
      <c r="A39" t="s">
        <v>111</v>
      </c>
      <c r="B39" t="s">
        <v>20</v>
      </c>
      <c r="D39">
        <v>14.6</v>
      </c>
      <c r="E39" t="s">
        <v>109</v>
      </c>
      <c r="F39">
        <v>2023</v>
      </c>
      <c r="G39">
        <v>1.0822000000000001</v>
      </c>
      <c r="H39" s="11">
        <f t="shared" si="1"/>
        <v>15.80012</v>
      </c>
    </row>
    <row r="40" spans="1:8" x14ac:dyDescent="0.25">
      <c r="A40" t="s">
        <v>112</v>
      </c>
      <c r="B40" t="s">
        <v>17</v>
      </c>
      <c r="D40">
        <v>46.2</v>
      </c>
      <c r="E40" t="s">
        <v>109</v>
      </c>
      <c r="F40">
        <v>2023</v>
      </c>
      <c r="G40">
        <v>1.1042000000000001</v>
      </c>
      <c r="H40" s="11">
        <f t="shared" si="1"/>
        <v>51.014040000000008</v>
      </c>
    </row>
    <row r="41" spans="1:8" x14ac:dyDescent="0.25">
      <c r="A41" t="s">
        <v>112</v>
      </c>
      <c r="B41" t="s">
        <v>15</v>
      </c>
      <c r="D41" s="12">
        <f>384.2*0.1342</f>
        <v>51.559640000000002</v>
      </c>
      <c r="E41" t="s">
        <v>109</v>
      </c>
      <c r="F41">
        <v>2023</v>
      </c>
      <c r="G41">
        <v>1.1042000000000001</v>
      </c>
      <c r="H41" s="11">
        <f t="shared" si="1"/>
        <v>56.932154488000009</v>
      </c>
    </row>
    <row r="42" spans="1:8" x14ac:dyDescent="0.25">
      <c r="A42" t="s">
        <v>112</v>
      </c>
      <c r="B42" t="s">
        <v>27</v>
      </c>
      <c r="D42">
        <v>41.5</v>
      </c>
      <c r="E42" t="s">
        <v>109</v>
      </c>
      <c r="F42">
        <v>2023</v>
      </c>
      <c r="G42">
        <v>1.1042000000000001</v>
      </c>
      <c r="H42" s="11">
        <f t="shared" si="1"/>
        <v>45.824300000000001</v>
      </c>
    </row>
    <row r="43" spans="1:8" x14ac:dyDescent="0.25">
      <c r="A43" t="s">
        <v>112</v>
      </c>
      <c r="B43" t="s">
        <v>18</v>
      </c>
      <c r="D43">
        <v>44.6</v>
      </c>
      <c r="E43" t="s">
        <v>109</v>
      </c>
      <c r="F43">
        <v>2023</v>
      </c>
      <c r="G43">
        <v>1.1042000000000001</v>
      </c>
      <c r="H43" s="11">
        <f t="shared" si="1"/>
        <v>49.247320000000002</v>
      </c>
    </row>
    <row r="44" spans="1:8" x14ac:dyDescent="0.25">
      <c r="A44" t="s">
        <v>112</v>
      </c>
      <c r="B44" t="s">
        <v>25</v>
      </c>
      <c r="D44">
        <v>15.2</v>
      </c>
      <c r="E44" t="s">
        <v>109</v>
      </c>
      <c r="F44">
        <v>2023</v>
      </c>
      <c r="G44">
        <v>1.1042000000000001</v>
      </c>
      <c r="H44" s="11">
        <f t="shared" si="1"/>
        <v>16.783840000000001</v>
      </c>
    </row>
    <row r="45" spans="1:8" x14ac:dyDescent="0.25">
      <c r="A45" t="s">
        <v>112</v>
      </c>
      <c r="B45" t="s">
        <v>26</v>
      </c>
      <c r="D45">
        <v>30.4</v>
      </c>
      <c r="E45" t="s">
        <v>109</v>
      </c>
      <c r="F45">
        <v>2023</v>
      </c>
      <c r="G45">
        <v>1.1042000000000001</v>
      </c>
      <c r="H45" s="11">
        <f t="shared" si="1"/>
        <v>33.567680000000003</v>
      </c>
    </row>
    <row r="46" spans="1:8" x14ac:dyDescent="0.25">
      <c r="A46" t="s">
        <v>112</v>
      </c>
      <c r="B46" t="s">
        <v>20</v>
      </c>
      <c r="D46">
        <v>14.6</v>
      </c>
      <c r="E46" t="s">
        <v>109</v>
      </c>
      <c r="F46">
        <v>2023</v>
      </c>
      <c r="G46">
        <v>1.1042000000000001</v>
      </c>
      <c r="H46" s="11">
        <f t="shared" si="1"/>
        <v>16.121320000000001</v>
      </c>
    </row>
    <row r="47" spans="1:8" x14ac:dyDescent="0.25">
      <c r="A47" t="s">
        <v>113</v>
      </c>
      <c r="B47" t="s">
        <v>17</v>
      </c>
      <c r="D47">
        <v>46.2</v>
      </c>
      <c r="E47" t="s">
        <v>109</v>
      </c>
      <c r="F47">
        <v>2023</v>
      </c>
      <c r="G47">
        <v>1.1469</v>
      </c>
      <c r="H47" s="11">
        <f t="shared" si="1"/>
        <v>52.986780000000003</v>
      </c>
    </row>
    <row r="48" spans="1:8" x14ac:dyDescent="0.25">
      <c r="A48" t="s">
        <v>113</v>
      </c>
      <c r="B48" t="s">
        <v>15</v>
      </c>
      <c r="D48" s="12">
        <f>384.2*0.1342</f>
        <v>51.559640000000002</v>
      </c>
      <c r="E48" t="s">
        <v>109</v>
      </c>
      <c r="F48">
        <v>2023</v>
      </c>
      <c r="G48">
        <v>1.1469</v>
      </c>
      <c r="H48" s="11">
        <f t="shared" si="1"/>
        <v>59.133751116000006</v>
      </c>
    </row>
    <row r="49" spans="1:8" x14ac:dyDescent="0.25">
      <c r="A49" t="s">
        <v>113</v>
      </c>
      <c r="B49" t="s">
        <v>27</v>
      </c>
      <c r="D49">
        <v>41.5</v>
      </c>
      <c r="E49" t="s">
        <v>109</v>
      </c>
      <c r="F49">
        <v>2023</v>
      </c>
      <c r="G49">
        <v>1.1469</v>
      </c>
      <c r="H49" s="11">
        <f t="shared" si="1"/>
        <v>47.596350000000001</v>
      </c>
    </row>
    <row r="50" spans="1:8" x14ac:dyDescent="0.25">
      <c r="A50" t="s">
        <v>113</v>
      </c>
      <c r="B50" t="s">
        <v>18</v>
      </c>
      <c r="D50">
        <v>44.6</v>
      </c>
      <c r="E50" t="s">
        <v>109</v>
      </c>
      <c r="F50">
        <v>2023</v>
      </c>
      <c r="G50">
        <v>1.1469</v>
      </c>
      <c r="H50" s="11">
        <f t="shared" si="1"/>
        <v>51.151740000000004</v>
      </c>
    </row>
    <row r="51" spans="1:8" x14ac:dyDescent="0.25">
      <c r="A51" t="s">
        <v>113</v>
      </c>
      <c r="B51" t="s">
        <v>25</v>
      </c>
      <c r="D51">
        <v>15.2</v>
      </c>
      <c r="E51" t="s">
        <v>109</v>
      </c>
      <c r="F51">
        <v>2023</v>
      </c>
      <c r="G51">
        <v>1.1469</v>
      </c>
      <c r="H51" s="11">
        <f t="shared" si="1"/>
        <v>17.432880000000001</v>
      </c>
    </row>
    <row r="52" spans="1:8" x14ac:dyDescent="0.25">
      <c r="A52" t="s">
        <v>113</v>
      </c>
      <c r="B52" t="s">
        <v>26</v>
      </c>
      <c r="D52">
        <v>30.4</v>
      </c>
      <c r="E52" t="s">
        <v>109</v>
      </c>
      <c r="F52">
        <v>2023</v>
      </c>
      <c r="G52">
        <v>1.1469</v>
      </c>
      <c r="H52" s="11">
        <f t="shared" si="1"/>
        <v>34.865760000000002</v>
      </c>
    </row>
    <row r="53" spans="1:8" x14ac:dyDescent="0.25">
      <c r="A53" t="s">
        <v>113</v>
      </c>
      <c r="B53" t="s">
        <v>20</v>
      </c>
      <c r="D53">
        <v>14.6</v>
      </c>
      <c r="E53" t="s">
        <v>109</v>
      </c>
      <c r="F53">
        <v>2023</v>
      </c>
      <c r="G53">
        <v>1.1469</v>
      </c>
      <c r="H53" s="11">
        <f t="shared" si="1"/>
        <v>16.74474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6D90-B763-48B1-9315-5049E0BC5837}">
  <dimension ref="A1:H53"/>
  <sheetViews>
    <sheetView tabSelected="1" workbookViewId="0">
      <selection activeCell="I15" sqref="I15"/>
    </sheetView>
  </sheetViews>
  <sheetFormatPr defaultRowHeight="15" x14ac:dyDescent="0.25"/>
  <cols>
    <col min="1" max="1" width="48.7109375" customWidth="1"/>
    <col min="2" max="2" width="22.7109375" bestFit="1" customWidth="1"/>
    <col min="3" max="3" width="11" customWidth="1"/>
    <col min="4" max="4" width="14" bestFit="1" customWidth="1"/>
    <col min="5" max="5" width="15.140625" bestFit="1" customWidth="1"/>
    <col min="6" max="6" width="11.140625" bestFit="1" customWidth="1"/>
    <col min="7" max="7" width="15.42578125" bestFit="1" customWidth="1"/>
    <col min="8" max="8" width="17" bestFit="1" customWidth="1"/>
  </cols>
  <sheetData>
    <row r="1" spans="1:8" x14ac:dyDescent="0.25">
      <c r="A1" t="s">
        <v>99</v>
      </c>
      <c r="B1" t="s">
        <v>98</v>
      </c>
      <c r="C1" t="s">
        <v>101</v>
      </c>
      <c r="D1" t="s">
        <v>102</v>
      </c>
      <c r="E1" t="s">
        <v>104</v>
      </c>
      <c r="F1" t="s">
        <v>105</v>
      </c>
      <c r="G1" t="s">
        <v>106</v>
      </c>
      <c r="H1" t="s">
        <v>103</v>
      </c>
    </row>
    <row r="2" spans="1:8" x14ac:dyDescent="0.25">
      <c r="A2" t="s">
        <v>100</v>
      </c>
      <c r="B2" t="s">
        <v>60</v>
      </c>
      <c r="C2">
        <v>0.97095106665243436</v>
      </c>
      <c r="D2" s="4">
        <f t="shared" ref="D2:D24" si="0">C2*$D$32</f>
        <v>42.411142591378329</v>
      </c>
      <c r="E2" t="s">
        <v>108</v>
      </c>
      <c r="F2">
        <v>2023</v>
      </c>
      <c r="G2">
        <f>1</f>
        <v>1</v>
      </c>
      <c r="H2" s="11">
        <f>D2*G2</f>
        <v>42.411142591378329</v>
      </c>
    </row>
    <row r="3" spans="1:8" x14ac:dyDescent="0.25">
      <c r="A3" t="s">
        <v>100</v>
      </c>
      <c r="B3" t="s">
        <v>63</v>
      </c>
      <c r="C3">
        <v>0.97412281370560694</v>
      </c>
      <c r="D3" s="4">
        <f t="shared" si="0"/>
        <v>42.549684502660909</v>
      </c>
      <c r="E3" t="s">
        <v>108</v>
      </c>
      <c r="F3">
        <v>2023</v>
      </c>
      <c r="G3">
        <f>1</f>
        <v>1</v>
      </c>
      <c r="H3" s="11">
        <f t="shared" ref="H3:H53" si="1">D3*G3</f>
        <v>42.549684502660909</v>
      </c>
    </row>
    <row r="4" spans="1:8" x14ac:dyDescent="0.25">
      <c r="A4" t="s">
        <v>100</v>
      </c>
      <c r="B4" t="s">
        <v>80</v>
      </c>
      <c r="C4">
        <v>1.0415224385855226</v>
      </c>
      <c r="D4" s="4">
        <f t="shared" si="0"/>
        <v>45.493700117415628</v>
      </c>
      <c r="E4" t="s">
        <v>108</v>
      </c>
      <c r="F4">
        <v>2023</v>
      </c>
      <c r="G4">
        <f>1</f>
        <v>1</v>
      </c>
      <c r="H4" s="11">
        <f t="shared" si="1"/>
        <v>45.493700117415628</v>
      </c>
    </row>
    <row r="5" spans="1:8" x14ac:dyDescent="0.25">
      <c r="A5" t="s">
        <v>100</v>
      </c>
      <c r="B5" t="s">
        <v>88</v>
      </c>
      <c r="C5">
        <v>1.09028804952805</v>
      </c>
      <c r="D5" s="4">
        <f t="shared" si="0"/>
        <v>47.623782003385223</v>
      </c>
      <c r="E5" t="s">
        <v>108</v>
      </c>
      <c r="F5">
        <v>2023</v>
      </c>
      <c r="G5">
        <f>1</f>
        <v>1</v>
      </c>
      <c r="H5" s="11">
        <f t="shared" si="1"/>
        <v>47.623782003385223</v>
      </c>
    </row>
    <row r="6" spans="1:8" x14ac:dyDescent="0.25">
      <c r="A6" t="s">
        <v>100</v>
      </c>
      <c r="B6" t="s">
        <v>72</v>
      </c>
      <c r="C6">
        <v>1.0082190945272114</v>
      </c>
      <c r="D6" s="4">
        <f t="shared" si="0"/>
        <v>44.03901004894859</v>
      </c>
      <c r="E6" t="s">
        <v>108</v>
      </c>
      <c r="F6">
        <v>2023</v>
      </c>
      <c r="G6">
        <f>1</f>
        <v>1</v>
      </c>
      <c r="H6" s="11">
        <f t="shared" si="1"/>
        <v>44.03901004894859</v>
      </c>
    </row>
    <row r="7" spans="1:8" x14ac:dyDescent="0.25">
      <c r="A7" t="s">
        <v>100</v>
      </c>
      <c r="B7" t="s">
        <v>74</v>
      </c>
      <c r="C7">
        <v>1.0137696518702632</v>
      </c>
      <c r="D7" s="4">
        <f t="shared" si="0"/>
        <v>44.2814583936931</v>
      </c>
      <c r="E7" t="s">
        <v>108</v>
      </c>
      <c r="F7">
        <v>2023</v>
      </c>
      <c r="G7">
        <f>1</f>
        <v>1</v>
      </c>
      <c r="H7" s="11">
        <f t="shared" si="1"/>
        <v>44.2814583936931</v>
      </c>
    </row>
    <row r="8" spans="1:8" x14ac:dyDescent="0.25">
      <c r="A8" t="s">
        <v>100</v>
      </c>
      <c r="B8" t="s">
        <v>77</v>
      </c>
      <c r="C8">
        <v>1.0304213238994189</v>
      </c>
      <c r="D8" s="4">
        <f t="shared" si="0"/>
        <v>45.008803427926615</v>
      </c>
      <c r="E8" t="s">
        <v>108</v>
      </c>
      <c r="F8">
        <v>2023</v>
      </c>
      <c r="G8">
        <f>1</f>
        <v>1</v>
      </c>
      <c r="H8" s="11">
        <f t="shared" si="1"/>
        <v>45.008803427926615</v>
      </c>
    </row>
    <row r="9" spans="1:8" x14ac:dyDescent="0.25">
      <c r="A9" t="s">
        <v>100</v>
      </c>
      <c r="B9" t="s">
        <v>69</v>
      </c>
      <c r="C9">
        <v>0.98918861220817633</v>
      </c>
      <c r="D9" s="4">
        <f t="shared" si="0"/>
        <v>43.207758581253145</v>
      </c>
      <c r="E9" t="s">
        <v>108</v>
      </c>
      <c r="F9">
        <v>2023</v>
      </c>
      <c r="G9">
        <f>1</f>
        <v>1</v>
      </c>
      <c r="H9" s="11">
        <f t="shared" si="1"/>
        <v>43.207758581253145</v>
      </c>
    </row>
    <row r="10" spans="1:8" x14ac:dyDescent="0.25">
      <c r="A10" t="s">
        <v>97</v>
      </c>
      <c r="B10" t="s">
        <v>92</v>
      </c>
      <c r="C10">
        <v>1.1541194589731467</v>
      </c>
      <c r="D10" s="4">
        <f t="shared" si="0"/>
        <v>50.411937967947047</v>
      </c>
      <c r="E10" t="s">
        <v>108</v>
      </c>
      <c r="F10">
        <v>2023</v>
      </c>
      <c r="G10">
        <f>1</f>
        <v>1</v>
      </c>
      <c r="H10" s="11">
        <f t="shared" si="1"/>
        <v>50.411937967947047</v>
      </c>
    </row>
    <row r="11" spans="1:8" x14ac:dyDescent="0.25">
      <c r="A11" t="s">
        <v>97</v>
      </c>
      <c r="B11" t="s">
        <v>83</v>
      </c>
      <c r="C11">
        <v>1.0542094267982127</v>
      </c>
      <c r="D11" s="4">
        <f t="shared" si="0"/>
        <v>46.047867762545934</v>
      </c>
      <c r="E11" t="s">
        <v>108</v>
      </c>
      <c r="F11">
        <v>2023</v>
      </c>
      <c r="G11">
        <f>1</f>
        <v>1</v>
      </c>
      <c r="H11" s="11">
        <f t="shared" si="1"/>
        <v>46.047867762545934</v>
      </c>
    </row>
    <row r="12" spans="1:8" x14ac:dyDescent="0.25">
      <c r="A12" t="s">
        <v>97</v>
      </c>
      <c r="B12" t="s">
        <v>90</v>
      </c>
      <c r="C12">
        <v>1.1235913935863615</v>
      </c>
      <c r="D12" s="4">
        <f t="shared" si="0"/>
        <v>49.078472071852268</v>
      </c>
      <c r="E12" t="s">
        <v>108</v>
      </c>
      <c r="F12">
        <v>2023</v>
      </c>
      <c r="G12">
        <f>1</f>
        <v>1</v>
      </c>
      <c r="H12" s="11">
        <f t="shared" si="1"/>
        <v>49.078472071852268</v>
      </c>
    </row>
    <row r="13" spans="1:8" x14ac:dyDescent="0.25">
      <c r="A13" t="s">
        <v>97</v>
      </c>
      <c r="B13" t="s">
        <v>55</v>
      </c>
      <c r="C13">
        <v>0.94161240641058874</v>
      </c>
      <c r="D13" s="4">
        <f t="shared" si="0"/>
        <v>41.129629912014515</v>
      </c>
      <c r="E13" t="s">
        <v>108</v>
      </c>
      <c r="F13">
        <v>2023</v>
      </c>
      <c r="G13">
        <f>1</f>
        <v>1</v>
      </c>
      <c r="H13" s="11">
        <f t="shared" si="1"/>
        <v>41.129629912014515</v>
      </c>
    </row>
    <row r="14" spans="1:8" x14ac:dyDescent="0.25">
      <c r="A14" t="s">
        <v>97</v>
      </c>
      <c r="B14" t="s">
        <v>79</v>
      </c>
      <c r="C14">
        <v>1.0367648180057638</v>
      </c>
      <c r="D14" s="4">
        <f t="shared" si="0"/>
        <v>45.285887250491761</v>
      </c>
      <c r="E14" t="s">
        <v>108</v>
      </c>
      <c r="F14">
        <v>2023</v>
      </c>
      <c r="G14">
        <f>1</f>
        <v>1</v>
      </c>
      <c r="H14" s="11">
        <f t="shared" si="1"/>
        <v>45.285887250491761</v>
      </c>
    </row>
    <row r="15" spans="1:8" x14ac:dyDescent="0.25">
      <c r="A15" t="s">
        <v>97</v>
      </c>
      <c r="B15" t="s">
        <v>75</v>
      </c>
      <c r="C15">
        <v>1.0181308040683754</v>
      </c>
      <c r="D15" s="4">
        <f t="shared" si="0"/>
        <v>44.471953521706638</v>
      </c>
      <c r="E15" t="s">
        <v>108</v>
      </c>
      <c r="F15">
        <v>2023</v>
      </c>
      <c r="G15">
        <f>1</f>
        <v>1</v>
      </c>
      <c r="H15" s="11">
        <f t="shared" si="1"/>
        <v>44.471953521706638</v>
      </c>
    </row>
    <row r="16" spans="1:8" x14ac:dyDescent="0.25">
      <c r="A16" t="s">
        <v>97</v>
      </c>
      <c r="B16" t="s">
        <v>87</v>
      </c>
      <c r="C16">
        <v>1.0843410238033517</v>
      </c>
      <c r="D16" s="4">
        <f t="shared" si="0"/>
        <v>47.364015919730406</v>
      </c>
      <c r="E16" t="s">
        <v>108</v>
      </c>
      <c r="F16">
        <v>2023</v>
      </c>
      <c r="G16">
        <f>1</f>
        <v>1</v>
      </c>
      <c r="H16" s="11">
        <f t="shared" si="1"/>
        <v>47.364015919730406</v>
      </c>
    </row>
    <row r="17" spans="1:8" x14ac:dyDescent="0.25">
      <c r="A17" t="s">
        <v>97</v>
      </c>
      <c r="B17" t="s">
        <v>76</v>
      </c>
      <c r="C17">
        <v>1.0189237408316685</v>
      </c>
      <c r="D17" s="4">
        <f t="shared" si="0"/>
        <v>44.506588999527281</v>
      </c>
      <c r="E17" t="s">
        <v>108</v>
      </c>
      <c r="F17">
        <v>2023</v>
      </c>
      <c r="G17">
        <f>1</f>
        <v>1</v>
      </c>
      <c r="H17" s="11">
        <f t="shared" si="1"/>
        <v>44.506588999527281</v>
      </c>
    </row>
    <row r="18" spans="1:8" x14ac:dyDescent="0.25">
      <c r="A18" t="s">
        <v>97</v>
      </c>
      <c r="B18" t="s">
        <v>71</v>
      </c>
      <c r="C18">
        <v>1.0054438158556853</v>
      </c>
      <c r="D18" s="4">
        <f t="shared" si="0"/>
        <v>43.917785876576332</v>
      </c>
      <c r="E18" t="s">
        <v>108</v>
      </c>
      <c r="F18">
        <v>2023</v>
      </c>
      <c r="G18">
        <f>1</f>
        <v>1</v>
      </c>
      <c r="H18" s="11">
        <f t="shared" si="1"/>
        <v>43.917785876576332</v>
      </c>
    </row>
    <row r="19" spans="1:8" x14ac:dyDescent="0.25">
      <c r="A19" t="s">
        <v>97</v>
      </c>
      <c r="B19" t="s">
        <v>72</v>
      </c>
      <c r="C19">
        <v>1.0082190945272114</v>
      </c>
      <c r="D19" s="4">
        <f t="shared" si="0"/>
        <v>44.03901004894859</v>
      </c>
      <c r="E19" t="s">
        <v>108</v>
      </c>
      <c r="F19">
        <v>2023</v>
      </c>
      <c r="G19">
        <f>1</f>
        <v>1</v>
      </c>
      <c r="H19" s="11">
        <f t="shared" si="1"/>
        <v>44.03901004894859</v>
      </c>
    </row>
    <row r="20" spans="1:8" x14ac:dyDescent="0.25">
      <c r="A20" t="s">
        <v>97</v>
      </c>
      <c r="B20" t="s">
        <v>48</v>
      </c>
      <c r="C20">
        <v>0.87460924991231936</v>
      </c>
      <c r="D20" s="4">
        <f t="shared" si="0"/>
        <v>38.202932036170111</v>
      </c>
      <c r="E20" t="s">
        <v>108</v>
      </c>
      <c r="F20">
        <v>2023</v>
      </c>
      <c r="G20">
        <f>1</f>
        <v>1</v>
      </c>
      <c r="H20" s="11">
        <f t="shared" si="1"/>
        <v>38.202932036170111</v>
      </c>
    </row>
    <row r="21" spans="1:8" x14ac:dyDescent="0.25">
      <c r="A21" t="s">
        <v>97</v>
      </c>
      <c r="B21" t="s">
        <v>77</v>
      </c>
      <c r="C21">
        <v>1.0304213238994189</v>
      </c>
      <c r="D21" s="4">
        <f t="shared" si="0"/>
        <v>45.008803427926615</v>
      </c>
      <c r="E21" t="s">
        <v>108</v>
      </c>
      <c r="F21">
        <v>2023</v>
      </c>
      <c r="G21">
        <f>1</f>
        <v>1</v>
      </c>
      <c r="H21" s="11">
        <f t="shared" si="1"/>
        <v>45.008803427926615</v>
      </c>
    </row>
    <row r="22" spans="1:8" x14ac:dyDescent="0.25">
      <c r="A22" t="s">
        <v>97</v>
      </c>
      <c r="B22" t="s">
        <v>67</v>
      </c>
      <c r="C22">
        <v>0.9887921438265298</v>
      </c>
      <c r="D22" s="4">
        <f t="shared" si="0"/>
        <v>43.190440842342824</v>
      </c>
      <c r="E22" t="s">
        <v>108</v>
      </c>
      <c r="F22">
        <v>2023</v>
      </c>
      <c r="G22">
        <f>1</f>
        <v>1</v>
      </c>
      <c r="H22" s="11">
        <f t="shared" si="1"/>
        <v>43.190440842342824</v>
      </c>
    </row>
    <row r="23" spans="1:8" x14ac:dyDescent="0.25">
      <c r="A23" t="s">
        <v>97</v>
      </c>
      <c r="B23" t="s">
        <v>68</v>
      </c>
      <c r="C23">
        <v>0.98918861220817633</v>
      </c>
      <c r="D23" s="4">
        <f t="shared" si="0"/>
        <v>43.207758581253145</v>
      </c>
      <c r="E23" t="s">
        <v>108</v>
      </c>
      <c r="F23">
        <v>2023</v>
      </c>
      <c r="G23">
        <f>1</f>
        <v>1</v>
      </c>
      <c r="H23" s="11">
        <f t="shared" si="1"/>
        <v>43.207758581253145</v>
      </c>
    </row>
    <row r="24" spans="1:8" x14ac:dyDescent="0.25">
      <c r="A24" t="s">
        <v>97</v>
      </c>
      <c r="B24" t="s">
        <v>64</v>
      </c>
      <c r="C24">
        <v>0.97570868723219317</v>
      </c>
      <c r="D24" s="4">
        <f t="shared" si="0"/>
        <v>42.618955458302196</v>
      </c>
      <c r="E24" t="s">
        <v>108</v>
      </c>
      <c r="F24">
        <v>2023</v>
      </c>
      <c r="G24">
        <f>1</f>
        <v>1</v>
      </c>
      <c r="H24" s="11">
        <f t="shared" si="1"/>
        <v>42.618955458302196</v>
      </c>
    </row>
    <row r="25" spans="1:8" x14ac:dyDescent="0.25">
      <c r="A25" t="s">
        <v>110</v>
      </c>
      <c r="B25" t="s">
        <v>17</v>
      </c>
      <c r="D25">
        <v>46.2</v>
      </c>
      <c r="E25" t="s">
        <v>109</v>
      </c>
      <c r="F25">
        <v>2023</v>
      </c>
      <c r="G25">
        <v>1.08</v>
      </c>
      <c r="H25" s="11">
        <f t="shared" si="1"/>
        <v>49.896000000000008</v>
      </c>
    </row>
    <row r="26" spans="1:8" x14ac:dyDescent="0.25">
      <c r="A26" t="s">
        <v>110</v>
      </c>
      <c r="B26" t="s">
        <v>15</v>
      </c>
      <c r="D26" s="12">
        <f>384.2*0.1342</f>
        <v>51.559640000000002</v>
      </c>
      <c r="E26" t="s">
        <v>109</v>
      </c>
      <c r="F26">
        <v>2023</v>
      </c>
      <c r="G26">
        <v>1.0821000000000001</v>
      </c>
      <c r="H26" s="11">
        <f t="shared" si="1"/>
        <v>55.792686444000005</v>
      </c>
    </row>
    <row r="27" spans="1:8" x14ac:dyDescent="0.25">
      <c r="A27" t="s">
        <v>110</v>
      </c>
      <c r="B27" t="s">
        <v>27</v>
      </c>
      <c r="D27">
        <v>41.5</v>
      </c>
      <c r="E27" t="s">
        <v>109</v>
      </c>
      <c r="F27">
        <v>2023</v>
      </c>
      <c r="G27">
        <v>1.0821000000000001</v>
      </c>
      <c r="H27" s="11">
        <f t="shared" si="1"/>
        <v>44.907150000000001</v>
      </c>
    </row>
    <row r="28" spans="1:8" x14ac:dyDescent="0.25">
      <c r="A28" t="s">
        <v>110</v>
      </c>
      <c r="B28" t="s">
        <v>18</v>
      </c>
      <c r="D28">
        <v>44.6</v>
      </c>
      <c r="E28" t="s">
        <v>109</v>
      </c>
      <c r="F28">
        <v>2023</v>
      </c>
      <c r="G28">
        <v>1.0821000000000001</v>
      </c>
      <c r="H28" s="11">
        <f t="shared" si="1"/>
        <v>48.261660000000006</v>
      </c>
    </row>
    <row r="29" spans="1:8" x14ac:dyDescent="0.25">
      <c r="A29" t="s">
        <v>110</v>
      </c>
      <c r="B29" t="s">
        <v>25</v>
      </c>
      <c r="D29">
        <v>15.2</v>
      </c>
      <c r="E29" t="s">
        <v>109</v>
      </c>
      <c r="F29">
        <v>2023</v>
      </c>
      <c r="G29">
        <v>1.0821000000000001</v>
      </c>
      <c r="H29" s="11">
        <f t="shared" si="1"/>
        <v>16.44792</v>
      </c>
    </row>
    <row r="30" spans="1:8" x14ac:dyDescent="0.25">
      <c r="A30" t="s">
        <v>110</v>
      </c>
      <c r="B30" t="s">
        <v>26</v>
      </c>
      <c r="D30">
        <v>30.4</v>
      </c>
      <c r="E30" t="s">
        <v>109</v>
      </c>
      <c r="F30">
        <v>2023</v>
      </c>
      <c r="G30">
        <v>1.0821000000000001</v>
      </c>
      <c r="H30" s="11">
        <f t="shared" si="1"/>
        <v>32.89584</v>
      </c>
    </row>
    <row r="31" spans="1:8" x14ac:dyDescent="0.25">
      <c r="A31" t="s">
        <v>110</v>
      </c>
      <c r="B31" t="s">
        <v>20</v>
      </c>
      <c r="D31">
        <v>14.6</v>
      </c>
      <c r="E31" t="s">
        <v>109</v>
      </c>
      <c r="F31">
        <v>2023</v>
      </c>
      <c r="G31">
        <v>1.0821000000000001</v>
      </c>
      <c r="H31" s="11">
        <f t="shared" si="1"/>
        <v>15.79866</v>
      </c>
    </row>
    <row r="32" spans="1:8" x14ac:dyDescent="0.25">
      <c r="A32" t="s">
        <v>0</v>
      </c>
      <c r="B32" t="s">
        <v>107</v>
      </c>
      <c r="D32">
        <v>43.68</v>
      </c>
      <c r="E32" t="s">
        <v>108</v>
      </c>
      <c r="F32">
        <v>2023</v>
      </c>
      <c r="G32">
        <v>1</v>
      </c>
      <c r="H32" s="11">
        <f t="shared" si="1"/>
        <v>43.68</v>
      </c>
    </row>
    <row r="33" spans="1:8" x14ac:dyDescent="0.25">
      <c r="A33" t="s">
        <v>111</v>
      </c>
      <c r="B33" t="s">
        <v>17</v>
      </c>
      <c r="D33">
        <v>46.2</v>
      </c>
      <c r="E33" t="s">
        <v>109</v>
      </c>
      <c r="F33">
        <v>2023</v>
      </c>
      <c r="G33">
        <v>1.0822000000000001</v>
      </c>
      <c r="H33" s="11">
        <f t="shared" si="1"/>
        <v>49.997640000000004</v>
      </c>
    </row>
    <row r="34" spans="1:8" x14ac:dyDescent="0.25">
      <c r="A34" t="s">
        <v>111</v>
      </c>
      <c r="B34" t="s">
        <v>15</v>
      </c>
      <c r="D34" s="12">
        <f>384.2*0.1342</f>
        <v>51.559640000000002</v>
      </c>
      <c r="E34" t="s">
        <v>109</v>
      </c>
      <c r="F34">
        <v>2023</v>
      </c>
      <c r="G34">
        <v>1.0822000000000001</v>
      </c>
      <c r="H34" s="11">
        <f t="shared" si="1"/>
        <v>55.797842408000001</v>
      </c>
    </row>
    <row r="35" spans="1:8" x14ac:dyDescent="0.25">
      <c r="A35" t="s">
        <v>111</v>
      </c>
      <c r="B35" t="s">
        <v>27</v>
      </c>
      <c r="D35">
        <v>41.5</v>
      </c>
      <c r="E35" t="s">
        <v>109</v>
      </c>
      <c r="F35">
        <v>2023</v>
      </c>
      <c r="G35">
        <v>1.0822000000000001</v>
      </c>
      <c r="H35" s="11">
        <f t="shared" si="1"/>
        <v>44.911300000000004</v>
      </c>
    </row>
    <row r="36" spans="1:8" x14ac:dyDescent="0.25">
      <c r="A36" t="s">
        <v>111</v>
      </c>
      <c r="B36" t="s">
        <v>18</v>
      </c>
      <c r="D36">
        <v>44.6</v>
      </c>
      <c r="E36" t="s">
        <v>109</v>
      </c>
      <c r="F36">
        <v>2023</v>
      </c>
      <c r="G36">
        <v>1.0822000000000001</v>
      </c>
      <c r="H36" s="11">
        <f t="shared" si="1"/>
        <v>48.266120000000001</v>
      </c>
    </row>
    <row r="37" spans="1:8" x14ac:dyDescent="0.25">
      <c r="A37" t="s">
        <v>111</v>
      </c>
      <c r="B37" t="s">
        <v>25</v>
      </c>
      <c r="D37">
        <v>15.2</v>
      </c>
      <c r="E37" t="s">
        <v>109</v>
      </c>
      <c r="F37">
        <v>2023</v>
      </c>
      <c r="G37">
        <v>1.0822000000000001</v>
      </c>
      <c r="H37" s="11">
        <f t="shared" si="1"/>
        <v>16.449439999999999</v>
      </c>
    </row>
    <row r="38" spans="1:8" x14ac:dyDescent="0.25">
      <c r="A38" t="s">
        <v>111</v>
      </c>
      <c r="B38" t="s">
        <v>26</v>
      </c>
      <c r="D38">
        <v>30.4</v>
      </c>
      <c r="E38" t="s">
        <v>109</v>
      </c>
      <c r="F38">
        <v>2023</v>
      </c>
      <c r="G38">
        <v>1.0822000000000001</v>
      </c>
      <c r="H38" s="11">
        <f t="shared" si="1"/>
        <v>32.898879999999998</v>
      </c>
    </row>
    <row r="39" spans="1:8" x14ac:dyDescent="0.25">
      <c r="A39" t="s">
        <v>111</v>
      </c>
      <c r="B39" t="s">
        <v>20</v>
      </c>
      <c r="D39">
        <v>14.6</v>
      </c>
      <c r="E39" t="s">
        <v>109</v>
      </c>
      <c r="F39">
        <v>2023</v>
      </c>
      <c r="G39">
        <v>1.0822000000000001</v>
      </c>
      <c r="H39" s="11">
        <f t="shared" si="1"/>
        <v>15.80012</v>
      </c>
    </row>
    <row r="40" spans="1:8" x14ac:dyDescent="0.25">
      <c r="A40" t="s">
        <v>112</v>
      </c>
      <c r="B40" t="s">
        <v>17</v>
      </c>
      <c r="D40">
        <v>46.2</v>
      </c>
      <c r="E40" t="s">
        <v>109</v>
      </c>
      <c r="F40">
        <v>2023</v>
      </c>
      <c r="G40">
        <v>1.1042000000000001</v>
      </c>
      <c r="H40" s="11">
        <f t="shared" si="1"/>
        <v>51.014040000000008</v>
      </c>
    </row>
    <row r="41" spans="1:8" x14ac:dyDescent="0.25">
      <c r="A41" t="s">
        <v>112</v>
      </c>
      <c r="B41" t="s">
        <v>15</v>
      </c>
      <c r="D41" s="12">
        <f>384.2*0.1342</f>
        <v>51.559640000000002</v>
      </c>
      <c r="E41" t="s">
        <v>109</v>
      </c>
      <c r="F41">
        <v>2023</v>
      </c>
      <c r="G41">
        <v>1.1042000000000001</v>
      </c>
      <c r="H41" s="11">
        <f t="shared" si="1"/>
        <v>56.932154488000009</v>
      </c>
    </row>
    <row r="42" spans="1:8" x14ac:dyDescent="0.25">
      <c r="A42" t="s">
        <v>112</v>
      </c>
      <c r="B42" t="s">
        <v>27</v>
      </c>
      <c r="D42">
        <v>41.5</v>
      </c>
      <c r="E42" t="s">
        <v>109</v>
      </c>
      <c r="F42">
        <v>2023</v>
      </c>
      <c r="G42">
        <v>1.1042000000000001</v>
      </c>
      <c r="H42" s="11">
        <f t="shared" si="1"/>
        <v>45.824300000000001</v>
      </c>
    </row>
    <row r="43" spans="1:8" x14ac:dyDescent="0.25">
      <c r="A43" t="s">
        <v>112</v>
      </c>
      <c r="B43" t="s">
        <v>18</v>
      </c>
      <c r="D43">
        <v>44.6</v>
      </c>
      <c r="E43" t="s">
        <v>109</v>
      </c>
      <c r="F43">
        <v>2023</v>
      </c>
      <c r="G43">
        <v>1.1042000000000001</v>
      </c>
      <c r="H43" s="11">
        <f t="shared" si="1"/>
        <v>49.247320000000002</v>
      </c>
    </row>
    <row r="44" spans="1:8" x14ac:dyDescent="0.25">
      <c r="A44" t="s">
        <v>112</v>
      </c>
      <c r="B44" t="s">
        <v>25</v>
      </c>
      <c r="D44">
        <v>15.2</v>
      </c>
      <c r="E44" t="s">
        <v>109</v>
      </c>
      <c r="F44">
        <v>2023</v>
      </c>
      <c r="G44">
        <v>1.1042000000000001</v>
      </c>
      <c r="H44" s="11">
        <f t="shared" si="1"/>
        <v>16.783840000000001</v>
      </c>
    </row>
    <row r="45" spans="1:8" x14ac:dyDescent="0.25">
      <c r="A45" t="s">
        <v>112</v>
      </c>
      <c r="B45" t="s">
        <v>26</v>
      </c>
      <c r="D45">
        <v>30.4</v>
      </c>
      <c r="E45" t="s">
        <v>109</v>
      </c>
      <c r="F45">
        <v>2023</v>
      </c>
      <c r="G45">
        <v>1.1042000000000001</v>
      </c>
      <c r="H45" s="11">
        <f t="shared" si="1"/>
        <v>33.567680000000003</v>
      </c>
    </row>
    <row r="46" spans="1:8" x14ac:dyDescent="0.25">
      <c r="A46" t="s">
        <v>112</v>
      </c>
      <c r="B46" t="s">
        <v>20</v>
      </c>
      <c r="D46">
        <v>14.6</v>
      </c>
      <c r="E46" t="s">
        <v>109</v>
      </c>
      <c r="F46">
        <v>2023</v>
      </c>
      <c r="G46">
        <v>1.1042000000000001</v>
      </c>
      <c r="H46" s="11">
        <f t="shared" si="1"/>
        <v>16.121320000000001</v>
      </c>
    </row>
    <row r="47" spans="1:8" x14ac:dyDescent="0.25">
      <c r="A47" t="s">
        <v>113</v>
      </c>
      <c r="B47" t="s">
        <v>17</v>
      </c>
      <c r="D47">
        <v>46.2</v>
      </c>
      <c r="E47" t="s">
        <v>109</v>
      </c>
      <c r="F47">
        <v>2023</v>
      </c>
      <c r="G47">
        <v>1.1469</v>
      </c>
      <c r="H47" s="11">
        <f t="shared" si="1"/>
        <v>52.986780000000003</v>
      </c>
    </row>
    <row r="48" spans="1:8" x14ac:dyDescent="0.25">
      <c r="A48" t="s">
        <v>113</v>
      </c>
      <c r="B48" t="s">
        <v>15</v>
      </c>
      <c r="D48" s="12">
        <f>384.2*0.1342</f>
        <v>51.559640000000002</v>
      </c>
      <c r="E48" t="s">
        <v>109</v>
      </c>
      <c r="F48">
        <v>2023</v>
      </c>
      <c r="G48">
        <v>1.1469</v>
      </c>
      <c r="H48" s="11">
        <f t="shared" si="1"/>
        <v>59.133751116000006</v>
      </c>
    </row>
    <row r="49" spans="1:8" x14ac:dyDescent="0.25">
      <c r="A49" t="s">
        <v>113</v>
      </c>
      <c r="B49" t="s">
        <v>27</v>
      </c>
      <c r="D49">
        <v>41.5</v>
      </c>
      <c r="E49" t="s">
        <v>109</v>
      </c>
      <c r="F49">
        <v>2023</v>
      </c>
      <c r="G49">
        <v>1.1469</v>
      </c>
      <c r="H49" s="11">
        <f t="shared" si="1"/>
        <v>47.596350000000001</v>
      </c>
    </row>
    <row r="50" spans="1:8" x14ac:dyDescent="0.25">
      <c r="A50" t="s">
        <v>113</v>
      </c>
      <c r="B50" t="s">
        <v>18</v>
      </c>
      <c r="D50">
        <v>44.6</v>
      </c>
      <c r="E50" t="s">
        <v>109</v>
      </c>
      <c r="F50">
        <v>2023</v>
      </c>
      <c r="G50">
        <v>1.1469</v>
      </c>
      <c r="H50" s="11">
        <f t="shared" si="1"/>
        <v>51.151740000000004</v>
      </c>
    </row>
    <row r="51" spans="1:8" x14ac:dyDescent="0.25">
      <c r="A51" t="s">
        <v>113</v>
      </c>
      <c r="B51" t="s">
        <v>25</v>
      </c>
      <c r="D51">
        <v>15.2</v>
      </c>
      <c r="E51" t="s">
        <v>109</v>
      </c>
      <c r="F51">
        <v>2023</v>
      </c>
      <c r="G51">
        <v>1.1469</v>
      </c>
      <c r="H51" s="11">
        <f t="shared" si="1"/>
        <v>17.432880000000001</v>
      </c>
    </row>
    <row r="52" spans="1:8" x14ac:dyDescent="0.25">
      <c r="A52" t="s">
        <v>113</v>
      </c>
      <c r="B52" t="s">
        <v>26</v>
      </c>
      <c r="D52">
        <v>30.4</v>
      </c>
      <c r="E52" t="s">
        <v>109</v>
      </c>
      <c r="F52">
        <v>2023</v>
      </c>
      <c r="G52">
        <v>1.1469</v>
      </c>
      <c r="H52" s="11">
        <f t="shared" si="1"/>
        <v>34.865760000000002</v>
      </c>
    </row>
    <row r="53" spans="1:8" x14ac:dyDescent="0.25">
      <c r="A53" t="s">
        <v>113</v>
      </c>
      <c r="B53" t="s">
        <v>20</v>
      </c>
      <c r="D53">
        <v>14.6</v>
      </c>
      <c r="E53" t="s">
        <v>109</v>
      </c>
      <c r="F53">
        <v>2023</v>
      </c>
      <c r="G53">
        <v>1.1469</v>
      </c>
      <c r="H53" s="11">
        <f t="shared" si="1"/>
        <v>16.74474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55EA-7DDB-4AA0-9964-A6040CA22421}">
  <dimension ref="A1:D9"/>
  <sheetViews>
    <sheetView workbookViewId="0">
      <selection activeCell="E9" sqref="E9"/>
    </sheetView>
  </sheetViews>
  <sheetFormatPr defaultRowHeight="15" x14ac:dyDescent="0.25"/>
  <cols>
    <col min="1" max="1" width="45" bestFit="1" customWidth="1"/>
    <col min="2" max="2" width="27.42578125" bestFit="1" customWidth="1"/>
  </cols>
  <sheetData>
    <row r="1" spans="1:4" x14ac:dyDescent="0.25">
      <c r="A1" s="13" t="s">
        <v>114</v>
      </c>
      <c r="B1" t="s">
        <v>116</v>
      </c>
    </row>
    <row r="2" spans="1:4" x14ac:dyDescent="0.25">
      <c r="A2" s="7" t="s">
        <v>110</v>
      </c>
      <c r="B2" s="11">
        <v>37.728133777714291</v>
      </c>
      <c r="D2">
        <v>37.728133777714291</v>
      </c>
    </row>
    <row r="3" spans="1:4" x14ac:dyDescent="0.25">
      <c r="A3" s="7" t="s">
        <v>111</v>
      </c>
      <c r="B3" s="11">
        <v>37.731620344000007</v>
      </c>
      <c r="D3">
        <v>37.731620344000007</v>
      </c>
    </row>
    <row r="4" spans="1:4" x14ac:dyDescent="0.25">
      <c r="A4" s="7" t="s">
        <v>112</v>
      </c>
      <c r="B4" s="11">
        <v>38.498664926857145</v>
      </c>
      <c r="D4">
        <v>38.498664926857145</v>
      </c>
    </row>
    <row r="5" spans="1:4" x14ac:dyDescent="0.25">
      <c r="A5" s="7" t="s">
        <v>113</v>
      </c>
      <c r="B5" s="11">
        <v>39.987428730857154</v>
      </c>
      <c r="D5">
        <v>39.987428730857154</v>
      </c>
    </row>
    <row r="6" spans="1:4" x14ac:dyDescent="0.25">
      <c r="A6" s="7" t="s">
        <v>100</v>
      </c>
      <c r="B6" s="11">
        <v>44.326917458332694</v>
      </c>
      <c r="D6">
        <v>44.326917458332694</v>
      </c>
    </row>
    <row r="7" spans="1:4" x14ac:dyDescent="0.25">
      <c r="A7" s="7" t="s">
        <v>0</v>
      </c>
      <c r="B7" s="11">
        <v>43.68</v>
      </c>
      <c r="D7">
        <v>43.68</v>
      </c>
    </row>
    <row r="8" spans="1:4" x14ac:dyDescent="0.25">
      <c r="A8" s="7" t="s">
        <v>97</v>
      </c>
      <c r="B8" s="11">
        <v>44.565469311822383</v>
      </c>
      <c r="D8">
        <v>44.565469311822383</v>
      </c>
    </row>
    <row r="9" spans="1:4" x14ac:dyDescent="0.25">
      <c r="A9" s="7" t="s">
        <v>115</v>
      </c>
      <c r="B9" s="11">
        <v>41.238429111538395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</vt:lpstr>
      <vt:lpstr>state data</vt:lpstr>
      <vt:lpstr>plot_values</vt:lpstr>
      <vt:lpstr>plot_values_final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Mulas Hernando, Daniel</dc:creator>
  <cp:lastModifiedBy>Mulas Hernando, Daniel</cp:lastModifiedBy>
  <dcterms:created xsi:type="dcterms:W3CDTF">2025-03-26T14:35:35Z</dcterms:created>
  <dcterms:modified xsi:type="dcterms:W3CDTF">2025-07-31T03:34:13Z</dcterms:modified>
</cp:coreProperties>
</file>