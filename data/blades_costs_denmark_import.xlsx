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AEF0ABF5-D98C-4F00-A6A1-61E243BDC23F}" xr6:coauthVersionLast="47" xr6:coauthVersionMax="47" xr10:uidLastSave="{00000000-0000-0000-0000-000000000000}"/>
  <bookViews>
    <workbookView xWindow="1710" yWindow="19335" windowWidth="21600" windowHeight="11295" activeTab="1" xr2:uid="{E194376A-60D2-4E43-93D0-D5BA1364A651}"/>
  </bookViews>
  <sheets>
    <sheet name="Sheet1" sheetId="2" r:id="rId1"/>
    <sheet name="All op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F12" i="3"/>
  <c r="E5" i="3"/>
  <c r="E12" i="3"/>
  <c r="B5" i="3"/>
  <c r="G6" i="3"/>
  <c r="E6" i="3"/>
  <c r="B6" i="3"/>
  <c r="G1" i="3"/>
  <c r="F1" i="3"/>
  <c r="E1" i="3"/>
  <c r="D1" i="3"/>
  <c r="H1" i="3"/>
  <c r="I1" i="3"/>
  <c r="J1" i="3"/>
  <c r="K1" i="3"/>
  <c r="L1" i="3"/>
  <c r="M1" i="3"/>
  <c r="N1" i="3"/>
  <c r="O1" i="3"/>
  <c r="P1" i="3"/>
  <c r="Q1" i="3"/>
  <c r="C1" i="3"/>
  <c r="B5" i="2"/>
  <c r="B2" i="3" l="1"/>
  <c r="C2" i="3" s="1"/>
  <c r="D2" i="3" s="1"/>
  <c r="E2" i="3" s="1"/>
  <c r="B4" i="3"/>
  <c r="C4" i="3" s="1"/>
  <c r="B3" i="3"/>
  <c r="C3" i="3" s="1"/>
  <c r="B2" i="2"/>
  <c r="B4" i="2"/>
  <c r="H2" i="3" l="1"/>
  <c r="I2" i="3" s="1"/>
  <c r="J2" i="3" s="1"/>
  <c r="K2" i="3" s="1"/>
  <c r="L2" i="3" s="1"/>
  <c r="M2" i="3" s="1"/>
  <c r="N2" i="3" s="1"/>
  <c r="O2" i="3" s="1"/>
  <c r="P2" i="3" s="1"/>
  <c r="F2" i="3"/>
  <c r="C7" i="3"/>
  <c r="D3" i="3"/>
  <c r="E3" i="3"/>
  <c r="F3" i="3"/>
  <c r="G3" i="3"/>
  <c r="F4" i="3"/>
  <c r="G4" i="3"/>
  <c r="H4" i="3"/>
  <c r="I4" i="3" s="1"/>
  <c r="J4" i="3" s="1"/>
  <c r="K4" i="3" s="1"/>
  <c r="L4" i="3" s="1"/>
  <c r="M4" i="3" s="1"/>
  <c r="N4" i="3" s="1"/>
  <c r="O4" i="3" s="1"/>
  <c r="P4" i="3" s="1"/>
  <c r="Q4" i="3" s="1"/>
  <c r="D4" i="3"/>
  <c r="E4" i="3"/>
  <c r="I3" i="3"/>
  <c r="Q3" i="3"/>
  <c r="J3" i="3"/>
  <c r="H3" i="3"/>
  <c r="K3" i="3"/>
  <c r="L3" i="3"/>
  <c r="M3" i="3"/>
  <c r="N3" i="3"/>
  <c r="O3" i="3"/>
  <c r="P3" i="3"/>
  <c r="C4" i="2"/>
  <c r="D4" i="2" s="1"/>
  <c r="B3" i="2"/>
  <c r="C3" i="2" s="1"/>
  <c r="D3" i="2" s="1"/>
  <c r="C2" i="2"/>
  <c r="E7" i="3" l="1"/>
  <c r="L7" i="3"/>
  <c r="K7" i="3"/>
  <c r="G2" i="3"/>
  <c r="G7" i="3" s="1"/>
  <c r="F7" i="3"/>
  <c r="J7" i="3"/>
  <c r="O7" i="3"/>
  <c r="I7" i="3"/>
  <c r="H7" i="3"/>
  <c r="N7" i="3"/>
  <c r="M7" i="3"/>
  <c r="D7" i="3"/>
  <c r="Q2" i="3"/>
  <c r="Q7" i="3" s="1"/>
  <c r="P7" i="3"/>
  <c r="C7" i="2"/>
  <c r="D2" i="2"/>
  <c r="D7" i="2" l="1"/>
</calcChain>
</file>

<file path=xl/sharedStrings.xml><?xml version="1.0" encoding="utf-8"?>
<sst xmlns="http://schemas.openxmlformats.org/spreadsheetml/2006/main" count="50" uniqueCount="26">
  <si>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</si>
  <si>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</si>
  <si>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</si>
  <si>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</si>
  <si>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</si>
  <si>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</si>
  <si>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</si>
  <si>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</si>
  <si>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</si>
  <si>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</si>
  <si>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</si>
  <si>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</si>
  <si>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</si>
  <si>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</si>
  <si>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</si>
  <si>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</si>
  <si>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</si>
  <si>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</si>
  <si>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</si>
  <si>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</si>
  <si>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</si>
  <si>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Type</t>
  </si>
  <si>
    <t>Labor Ratio</t>
  </si>
  <si>
    <t>Virginia</t>
  </si>
  <si>
    <t>Great Lakes</t>
  </si>
  <si>
    <t>US East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</si>
</sst>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8" fillId="0" borderId="0" xfId="42"/>
    <xf numFmtId="2" fontId="18" fillId="0" borderId="0" xfId="42" applyNumberFormat="1"/>
    <xf numFmtId="164" fontId="0" fillId="0" borderId="0" xfId="44" applyNumberFormat="1" applyFont="1"/>
    <xf numFmtId="1" fontId="0" fillId="33" borderId="0" xfId="0" applyNumberFormat="1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 2" xfId="43" xr:uid="{3A4B0E27-D947-4D7A-B51E-17B705417C9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7F5D012-193B-4DC1-8345-CEB7ACE962A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8"/>
  <sheetViews>
    <sheetView workbookViewId="0">
      <selection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1">
        <f>(B$7-B$6-B$5)*0.13</f>
        <v>566460.91743396362</v>
      </c>
      <c r="C2" s="1">
        <f>B2</f>
        <v>566460.91743396362</v>
      </c>
      <c r="D2" s="1">
        <f>C2</f>
        <v>566460.91743396362</v>
      </c>
      <c r="E2" s="1"/>
    </row>
    <row r="3" spans="1:5" x14ac:dyDescent="0.25">
      <c r="A3" t="s">
        <v>2</v>
      </c>
      <c r="B3" s="1">
        <f>(B$7-B$6-B$5)*0.23</f>
        <v>1002200.0846908587</v>
      </c>
      <c r="C3" s="1">
        <f t="shared" ref="C3:C4" si="0">B3</f>
        <v>1002200.0846908587</v>
      </c>
      <c r="D3" s="1">
        <f>C3*0.829811755666539</f>
        <v>831637.41180647549</v>
      </c>
      <c r="E3" s="1"/>
    </row>
    <row r="4" spans="1:5" x14ac:dyDescent="0.25">
      <c r="A4" t="s">
        <v>3</v>
      </c>
      <c r="B4" s="1">
        <f>(B$7-B$6-B$5)*0.64</f>
        <v>2788730.6704441286</v>
      </c>
      <c r="C4" s="1">
        <f t="shared" si="0"/>
        <v>2788730.6704441286</v>
      </c>
      <c r="D4" s="1">
        <f>C4*0.951082340352851</f>
        <v>2652312.4926597769</v>
      </c>
      <c r="E4" s="1"/>
    </row>
    <row r="5" spans="1:5" x14ac:dyDescent="0.25">
      <c r="A5" t="s">
        <v>4</v>
      </c>
      <c r="B5" s="1">
        <f>3*86949.4424770165</f>
        <v>260848.32743104952</v>
      </c>
      <c r="C5" s="1">
        <v>0</v>
      </c>
      <c r="D5" s="1">
        <v>0</v>
      </c>
      <c r="E5" s="1"/>
    </row>
    <row r="6" spans="1:5" x14ac:dyDescent="0.25">
      <c r="A6" t="s">
        <v>8</v>
      </c>
      <c r="B6">
        <v>1791307</v>
      </c>
      <c r="C6" s="1">
        <v>0</v>
      </c>
      <c r="D6" s="1">
        <v>0</v>
      </c>
      <c r="E6" s="1"/>
    </row>
    <row r="7" spans="1:5" x14ac:dyDescent="0.25">
      <c r="A7" t="s">
        <v>5</v>
      </c>
      <c r="B7">
        <v>6409547</v>
      </c>
      <c r="C7" s="1">
        <f>SUM(C2:C6)</f>
        <v>4357391.6725689508</v>
      </c>
      <c r="D7" s="1">
        <f>SUM(D2:D6)</f>
        <v>4050410.8219002159</v>
      </c>
      <c r="E7" s="1"/>
    </row>
    <row r="8" spans="1:5" x14ac:dyDescent="0.25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2858-2D17-4640-8AA6-C59C18169A2D}">
  <dimension ref="A1:Q24"/>
  <sheetViews>
    <sheetView tabSelected="1" zoomScale="115" zoomScaleNormal="115" workbookViewId="0">
      <selection activeCell="F15" sqref="F15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8.85546875" bestFit="1" customWidth="1"/>
    <col min="5" max="5" width="25.5703125" bestFit="1" customWidth="1"/>
    <col min="6" max="6" width="27.140625" bestFit="1" customWidth="1"/>
    <col min="7" max="7" width="23.7109375" bestFit="1" customWidth="1"/>
    <col min="8" max="8" width="26.5703125" bestFit="1" customWidth="1"/>
    <col min="9" max="9" width="26.42578125" bestFit="1" customWidth="1"/>
    <col min="10" max="10" width="19.7109375" bestFit="1" customWidth="1"/>
    <col min="11" max="11" width="19" bestFit="1" customWidth="1"/>
    <col min="12" max="12" width="18.140625" bestFit="1" customWidth="1"/>
    <col min="13" max="13" width="18.7109375" bestFit="1" customWidth="1"/>
    <col min="14" max="14" width="18.85546875" bestFit="1" customWidth="1"/>
    <col min="15" max="15" width="19.42578125" bestFit="1" customWidth="1"/>
    <col min="16" max="16" width="19" bestFit="1" customWidth="1"/>
    <col min="17" max="17" width="19.140625" bestFit="1" customWidth="1"/>
  </cols>
  <sheetData>
    <row r="1" spans="1:17" x14ac:dyDescent="0.25">
      <c r="A1" t="s">
        <v>0</v>
      </c>
      <c r="B1" t="s">
        <v>6</v>
      </c>
      <c r="C1" t="str">
        <f>_xlfn.CONCAT("Production cost - ",C9)</f>
        <v>Production cost - Import</v>
      </c>
      <c r="D1" t="str">
        <f>_xlfn.CONCAT("Production cost - ",D9)</f>
        <v>Production cost - US East Coast</v>
      </c>
      <c r="E1" t="str">
        <f>_xlfn.CONCAT("Landed cost - ",E9)</f>
        <v>Landed cost - US East Coast</v>
      </c>
      <c r="F1" t="str">
        <f>_xlfn.CONCAT("Production cost - ",F9)</f>
        <v>Production cost - Great Lakes</v>
      </c>
      <c r="G1" t="str">
        <f>_xlfn.CONCAT("Landed cost - ",G9)</f>
        <v>Landed cost - Great Lakes</v>
      </c>
      <c r="H1" t="str">
        <f>_xlfn.CONCAT("Production cost - ",H9)</f>
        <v>Production cost - US Average</v>
      </c>
      <c r="I1" t="str">
        <f t="shared" ref="I1:Q1" si="0">_xlfn.CONCAT("Production cost - ",I9)</f>
        <v>Production cost - GL Average</v>
      </c>
      <c r="J1" t="str">
        <f t="shared" si="0"/>
        <v>Production cost - MN</v>
      </c>
      <c r="K1" t="str">
        <f t="shared" si="0"/>
        <v>Production cost - WI</v>
      </c>
      <c r="L1" t="str">
        <f t="shared" si="0"/>
        <v>Production cost - IL</v>
      </c>
      <c r="M1" t="str">
        <f t="shared" si="0"/>
        <v>Production cost - IN</v>
      </c>
      <c r="N1" t="str">
        <f t="shared" si="0"/>
        <v>Production cost - MI</v>
      </c>
      <c r="O1" t="str">
        <f t="shared" si="0"/>
        <v>Production cost - OH</v>
      </c>
      <c r="P1" t="str">
        <f t="shared" si="0"/>
        <v>Production cost - PA</v>
      </c>
      <c r="Q1" t="str">
        <f t="shared" si="0"/>
        <v>Production cost - NY</v>
      </c>
    </row>
    <row r="2" spans="1:17" x14ac:dyDescent="0.25">
      <c r="A2" t="s">
        <v>1</v>
      </c>
      <c r="B2" s="1">
        <f>(B$7-B$6-B$5)*0.13</f>
        <v>724997.76289926202</v>
      </c>
      <c r="C2" s="1">
        <f>B2</f>
        <v>724997.76289926202</v>
      </c>
      <c r="D2" s="1">
        <f t="shared" ref="D2:G2" si="1">C2</f>
        <v>724997.76289926202</v>
      </c>
      <c r="E2" s="1">
        <f t="shared" si="1"/>
        <v>724997.76289926202</v>
      </c>
      <c r="F2" s="1">
        <f t="shared" si="1"/>
        <v>724997.76289926202</v>
      </c>
      <c r="G2" s="1">
        <f t="shared" si="1"/>
        <v>724997.76289926202</v>
      </c>
      <c r="H2" s="1">
        <f>C2</f>
        <v>724997.76289926202</v>
      </c>
      <c r="I2" s="1">
        <f>H2</f>
        <v>724997.76289926202</v>
      </c>
      <c r="J2" s="1">
        <f t="shared" ref="J2:Q2" si="2">I2</f>
        <v>724997.76289926202</v>
      </c>
      <c r="K2" s="1">
        <f t="shared" si="2"/>
        <v>724997.76289926202</v>
      </c>
      <c r="L2" s="1">
        <f t="shared" si="2"/>
        <v>724997.76289926202</v>
      </c>
      <c r="M2" s="1">
        <f t="shared" si="2"/>
        <v>724997.76289926202</v>
      </c>
      <c r="N2" s="1">
        <f t="shared" si="2"/>
        <v>724997.76289926202</v>
      </c>
      <c r="O2" s="1">
        <f t="shared" si="2"/>
        <v>724997.76289926202</v>
      </c>
      <c r="P2" s="1">
        <f t="shared" si="2"/>
        <v>724997.76289926202</v>
      </c>
      <c r="Q2" s="1">
        <f t="shared" si="2"/>
        <v>724997.76289926202</v>
      </c>
    </row>
    <row r="3" spans="1:17" x14ac:dyDescent="0.25">
      <c r="A3" t="s">
        <v>2</v>
      </c>
      <c r="B3" s="1">
        <f>(B$7-B$6-B$5)*0.23</f>
        <v>1282688.3497448482</v>
      </c>
      <c r="C3" s="1">
        <f t="shared" ref="C3:C4" si="3">B3</f>
        <v>1282688.3497448482</v>
      </c>
      <c r="D3" s="1">
        <f t="shared" ref="D3:G3" si="4">$C$3*D8</f>
        <v>1023387.8237613111</v>
      </c>
      <c r="E3" s="1">
        <f t="shared" si="4"/>
        <v>1023387.8237613111</v>
      </c>
      <c r="F3" s="1">
        <f t="shared" si="4"/>
        <v>1064389.8714747876</v>
      </c>
      <c r="G3" s="1">
        <f t="shared" si="4"/>
        <v>1064389.8714747876</v>
      </c>
      <c r="H3" s="1">
        <f>$C$3*H8</f>
        <v>1062172.3925758817</v>
      </c>
      <c r="I3" s="1">
        <f t="shared" ref="I3:Q3" si="5">$C$3*I8</f>
        <v>1064389.8714747876</v>
      </c>
      <c r="J3" s="1">
        <f t="shared" si="5"/>
        <v>1143566.2394732246</v>
      </c>
      <c r="K3" s="1">
        <f t="shared" si="5"/>
        <v>1037526.460903889</v>
      </c>
      <c r="L3" s="1">
        <f t="shared" si="5"/>
        <v>1018397.7165345189</v>
      </c>
      <c r="M3" s="1">
        <f t="shared" si="5"/>
        <v>1021724.4546857137</v>
      </c>
      <c r="N3" s="1">
        <f t="shared" si="5"/>
        <v>1092417.6403986041</v>
      </c>
      <c r="O3" s="1">
        <f t="shared" si="5"/>
        <v>1063308.6815756492</v>
      </c>
      <c r="P3" s="1">
        <f t="shared" si="5"/>
        <v>1080774.0568694221</v>
      </c>
      <c r="Q3" s="1">
        <f t="shared" si="5"/>
        <v>1057486.8898110581</v>
      </c>
    </row>
    <row r="4" spans="1:17" x14ac:dyDescent="0.25">
      <c r="A4" t="s">
        <v>3</v>
      </c>
      <c r="B4" s="1">
        <f>(B$7-B$6-B$5)*0.64</f>
        <v>3569219.7558117514</v>
      </c>
      <c r="C4" s="1">
        <f t="shared" si="3"/>
        <v>3569219.7558117514</v>
      </c>
      <c r="D4" s="1">
        <f t="shared" ref="D4:G4" si="6">$C$4*0.909077961212417</f>
        <v>3244699.0187324276</v>
      </c>
      <c r="E4" s="1">
        <f t="shared" si="6"/>
        <v>3244699.0187324276</v>
      </c>
      <c r="F4" s="1">
        <f t="shared" si="6"/>
        <v>3244699.0187324276</v>
      </c>
      <c r="G4" s="1">
        <f t="shared" si="6"/>
        <v>3244699.0187324276</v>
      </c>
      <c r="H4" s="1">
        <f>$C$4*0.909077961212417</f>
        <v>3244699.0187324276</v>
      </c>
      <c r="I4" s="1">
        <f>H4</f>
        <v>3244699.0187324276</v>
      </c>
      <c r="J4" s="1">
        <f t="shared" ref="J4:Q4" si="7">I4</f>
        <v>3244699.0187324276</v>
      </c>
      <c r="K4" s="1">
        <f t="shared" si="7"/>
        <v>3244699.0187324276</v>
      </c>
      <c r="L4" s="1">
        <f t="shared" si="7"/>
        <v>3244699.0187324276</v>
      </c>
      <c r="M4" s="1">
        <f t="shared" si="7"/>
        <v>3244699.0187324276</v>
      </c>
      <c r="N4" s="1">
        <f t="shared" si="7"/>
        <v>3244699.0187324276</v>
      </c>
      <c r="O4" s="1">
        <f t="shared" si="7"/>
        <v>3244699.0187324276</v>
      </c>
      <c r="P4" s="1">
        <f t="shared" si="7"/>
        <v>3244699.0187324276</v>
      </c>
      <c r="Q4" s="1">
        <f t="shared" si="7"/>
        <v>3244699.0187324276</v>
      </c>
    </row>
    <row r="5" spans="1:17" x14ac:dyDescent="0.25">
      <c r="A5" t="s">
        <v>4</v>
      </c>
      <c r="B5" s="5">
        <f>3*102754.221936929</f>
        <v>308262.665810787</v>
      </c>
      <c r="C5" s="1">
        <v>0</v>
      </c>
      <c r="D5" s="1">
        <v>0</v>
      </c>
      <c r="E5" s="5">
        <f>3*153612.09154586</f>
        <v>460836.27463757998</v>
      </c>
      <c r="F5" s="1">
        <v>0</v>
      </c>
      <c r="G5" s="5">
        <f>3*154217.392248792</f>
        <v>462652.17674637598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t="s">
        <v>8</v>
      </c>
      <c r="B6">
        <f>174792.821911117*3</f>
        <v>524378.46573335095</v>
      </c>
      <c r="C6" s="1">
        <v>0</v>
      </c>
      <c r="D6" s="1">
        <v>0</v>
      </c>
      <c r="E6" s="1">
        <f>26186.7712619048*3</f>
        <v>78560.313785714403</v>
      </c>
      <c r="F6" s="1">
        <v>0</v>
      </c>
      <c r="G6" s="1">
        <f>89023.3966428571*3</f>
        <v>267070.18992857129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5</v>
      </c>
      <c r="B7">
        <v>6409547</v>
      </c>
      <c r="C7" s="1">
        <f>SUM(C2:C6)</f>
        <v>5576905.8684558617</v>
      </c>
      <c r="D7" s="1">
        <f t="shared" ref="D7:E7" si="8">SUM(D2:D6)</f>
        <v>4993084.6053930009</v>
      </c>
      <c r="E7" s="1">
        <f t="shared" si="8"/>
        <v>5532481.1938162949</v>
      </c>
      <c r="F7" s="1">
        <f>SUM(F2:F6)</f>
        <v>5034086.6531064771</v>
      </c>
      <c r="G7" s="1">
        <f>SUM(G2:G6)</f>
        <v>5763809.0197814247</v>
      </c>
      <c r="H7" s="1">
        <f>SUM(H2:H6)</f>
        <v>5031869.1742075719</v>
      </c>
      <c r="I7" s="1">
        <f t="shared" ref="I7:Q7" si="9">SUM(I2:I6)</f>
        <v>5034086.6531064771</v>
      </c>
      <c r="J7" s="1">
        <f t="shared" si="9"/>
        <v>5113263.0211049141</v>
      </c>
      <c r="K7" s="1">
        <f t="shared" si="9"/>
        <v>5007223.2425355781</v>
      </c>
      <c r="L7" s="1">
        <f t="shared" si="9"/>
        <v>4988094.4981662091</v>
      </c>
      <c r="M7" s="1">
        <f t="shared" si="9"/>
        <v>4991421.2363174036</v>
      </c>
      <c r="N7" s="1">
        <f t="shared" si="9"/>
        <v>5062114.4220302943</v>
      </c>
      <c r="O7" s="1">
        <f t="shared" si="9"/>
        <v>5033005.4632073389</v>
      </c>
      <c r="P7" s="1">
        <f t="shared" si="9"/>
        <v>5050470.8385011116</v>
      </c>
      <c r="Q7" s="1">
        <f t="shared" si="9"/>
        <v>5027183.6714427471</v>
      </c>
    </row>
    <row r="8" spans="1:17" x14ac:dyDescent="0.25">
      <c r="A8" t="s">
        <v>22</v>
      </c>
      <c r="C8">
        <v>1</v>
      </c>
      <c r="D8">
        <v>0.79784604262203129</v>
      </c>
      <c r="E8">
        <v>0.79784604262203129</v>
      </c>
      <c r="F8">
        <v>0.82981175566653864</v>
      </c>
      <c r="G8">
        <v>0.82981175566653864</v>
      </c>
      <c r="H8">
        <v>0.82808298117556656</v>
      </c>
      <c r="I8">
        <v>0.82981175566653864</v>
      </c>
      <c r="J8">
        <v>0.89153864982144904</v>
      </c>
      <c r="K8">
        <v>0.80886870229255092</v>
      </c>
      <c r="L8">
        <v>0.7939556921500831</v>
      </c>
      <c r="M8">
        <v>0.79654925913138197</v>
      </c>
      <c r="N8">
        <v>0.85166255748398068</v>
      </c>
      <c r="O8">
        <v>0.82896884639761648</v>
      </c>
      <c r="P8">
        <v>0.84258507304943486</v>
      </c>
      <c r="Q8">
        <v>0.82443010418034357</v>
      </c>
    </row>
    <row r="9" spans="1:17" x14ac:dyDescent="0.25">
      <c r="A9" t="s">
        <v>21</v>
      </c>
      <c r="C9" t="s">
        <v>10</v>
      </c>
      <c r="D9" t="s">
        <v>25</v>
      </c>
      <c r="E9" t="s">
        <v>25</v>
      </c>
      <c r="F9" t="s">
        <v>24</v>
      </c>
      <c r="G9" t="s">
        <v>24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</row>
    <row r="10" spans="1:17" x14ac:dyDescent="0.25">
      <c r="D10" t="s">
        <v>23</v>
      </c>
      <c r="E10" t="s">
        <v>23</v>
      </c>
      <c r="F10" t="s">
        <v>24</v>
      </c>
      <c r="G10" t="s">
        <v>24</v>
      </c>
    </row>
    <row r="12" spans="1:17" x14ac:dyDescent="0.25">
      <c r="E12">
        <f>SUM(E2:E4)/3</f>
        <v>1664361.5351310002</v>
      </c>
      <c r="F12">
        <f>SUM(F2:F4)/3</f>
        <v>1678028.8843688257</v>
      </c>
    </row>
    <row r="14" spans="1:17" ht="15.75" x14ac:dyDescent="0.25">
      <c r="C14" s="2"/>
      <c r="D14" s="2"/>
      <c r="E14" s="2"/>
      <c r="F14" s="2"/>
      <c r="G14" s="2"/>
      <c r="H14" t="s">
        <v>10</v>
      </c>
      <c r="I14" s="4">
        <v>4357391.6725689508</v>
      </c>
    </row>
    <row r="15" spans="1:17" ht="15.75" x14ac:dyDescent="0.25">
      <c r="C15" s="3"/>
      <c r="D15" s="3"/>
      <c r="E15" s="3"/>
      <c r="F15" s="3"/>
      <c r="G15" s="3"/>
      <c r="H15" t="s">
        <v>11</v>
      </c>
      <c r="I15" s="4">
        <v>4048678.2439589519</v>
      </c>
    </row>
    <row r="16" spans="1:17" ht="15.75" x14ac:dyDescent="0.25">
      <c r="C16" s="3"/>
      <c r="D16" s="3"/>
      <c r="E16" s="3"/>
      <c r="F16" s="3"/>
      <c r="G16" s="3"/>
      <c r="H16" t="s">
        <v>12</v>
      </c>
      <c r="I16" s="4">
        <v>4050410.8219002159</v>
      </c>
    </row>
    <row r="17" spans="3:9" ht="15.75" x14ac:dyDescent="0.25">
      <c r="C17" s="3"/>
      <c r="D17" s="3"/>
      <c r="E17" s="3"/>
      <c r="F17" s="3"/>
      <c r="G17" s="3"/>
      <c r="H17" t="s">
        <v>13</v>
      </c>
      <c r="I17" s="4">
        <v>4112273.5204499708</v>
      </c>
    </row>
    <row r="18" spans="3:9" ht="15.75" x14ac:dyDescent="0.25">
      <c r="C18" s="3"/>
      <c r="D18" s="3"/>
      <c r="E18" s="3"/>
      <c r="F18" s="3"/>
      <c r="G18" s="3"/>
      <c r="H18" t="s">
        <v>14</v>
      </c>
      <c r="I18" s="4">
        <v>4029421.69203512</v>
      </c>
    </row>
    <row r="19" spans="3:9" ht="15.75" x14ac:dyDescent="0.25">
      <c r="C19" s="3"/>
      <c r="D19" s="3"/>
      <c r="E19" s="3"/>
      <c r="F19" s="3"/>
      <c r="G19" s="3"/>
      <c r="H19" t="s">
        <v>15</v>
      </c>
      <c r="I19" s="4">
        <v>4014475.872007343</v>
      </c>
    </row>
    <row r="20" spans="3:9" ht="15.75" x14ac:dyDescent="0.25">
      <c r="C20" s="3"/>
      <c r="D20" s="3"/>
      <c r="E20" s="3"/>
      <c r="F20" s="3"/>
      <c r="G20" s="3"/>
      <c r="H20" t="s">
        <v>16</v>
      </c>
      <c r="I20" s="4">
        <v>4017075.1450556526</v>
      </c>
    </row>
    <row r="21" spans="3:9" ht="15.75" x14ac:dyDescent="0.25">
      <c r="C21" s="3"/>
      <c r="D21" s="3"/>
      <c r="E21" s="3"/>
      <c r="F21" s="3"/>
      <c r="G21" s="3"/>
      <c r="H21" t="s">
        <v>17</v>
      </c>
      <c r="I21" s="4">
        <v>4072309.6973322192</v>
      </c>
    </row>
    <row r="22" spans="3:9" ht="15.75" x14ac:dyDescent="0.25">
      <c r="C22" s="3"/>
      <c r="D22" s="3"/>
      <c r="E22" s="3"/>
      <c r="F22" s="3"/>
      <c r="G22" s="3"/>
      <c r="H22" t="s">
        <v>18</v>
      </c>
      <c r="I22" s="4">
        <v>4049566.0581595153</v>
      </c>
    </row>
    <row r="23" spans="3:9" ht="15.75" x14ac:dyDescent="0.25">
      <c r="C23" s="3"/>
      <c r="D23" s="3"/>
      <c r="E23" s="3"/>
      <c r="F23" s="3"/>
      <c r="G23" s="3"/>
      <c r="H23" t="s">
        <v>19</v>
      </c>
      <c r="I23" s="4">
        <v>4063212.2416631375</v>
      </c>
    </row>
    <row r="24" spans="3:9" ht="15.75" x14ac:dyDescent="0.25">
      <c r="C24" s="3"/>
      <c r="D24" s="3"/>
      <c r="E24" s="3"/>
      <c r="F24" s="3"/>
      <c r="G24" s="3"/>
      <c r="H24" t="s">
        <v>20</v>
      </c>
      <c r="I24" s="4">
        <v>4045017.3303249744</v>
      </c>
    </row>
  </sheetData>
  <pageMargins left="0.7" right="0.7" top="0.75" bottom="0.75" header="0.3" footer="0.3"/>
  <ignoredErrors>
    <ignoredError sqref="I3:Q3 H2 E1:G1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2025-05-21T21:04:15Z</dcterms:modified>
</cp:coreProperties>
</file>