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73476CE8-8AEB-4C6C-8016-E7ED910803C3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 a="1"/>
  <c r="D12" i="3" s="1"/>
  <c r="C12" i="3" a="1"/>
  <c r="C12" i="3" s="1"/>
  <c r="M1" i="3"/>
  <c r="M2" i="3"/>
  <c r="M7" i="3" s="1"/>
  <c r="M4" i="3"/>
  <c r="M3" i="3"/>
  <c r="E3" i="3"/>
  <c r="F3" i="3"/>
  <c r="G3" i="3"/>
  <c r="H3" i="3"/>
  <c r="I3" i="3"/>
  <c r="J3" i="3"/>
  <c r="K3" i="3"/>
  <c r="L3" i="3"/>
  <c r="D3" i="3"/>
  <c r="E2" i="3"/>
  <c r="F2" i="3"/>
  <c r="G2" i="3"/>
  <c r="G7" i="3" s="1"/>
  <c r="H2" i="3"/>
  <c r="I2" i="3"/>
  <c r="J2" i="3"/>
  <c r="K2" i="3"/>
  <c r="L2" i="3"/>
  <c r="D2" i="3"/>
  <c r="E7" i="3"/>
  <c r="H7" i="3"/>
  <c r="I7" i="3"/>
  <c r="J7" i="3"/>
  <c r="K7" i="3"/>
  <c r="L7" i="3"/>
  <c r="E4" i="3"/>
  <c r="F4" i="3"/>
  <c r="G4" i="3"/>
  <c r="H4" i="3"/>
  <c r="I4" i="3"/>
  <c r="J4" i="3"/>
  <c r="K4" i="3"/>
  <c r="L4" i="3"/>
  <c r="D4" i="3"/>
  <c r="D1" i="3"/>
  <c r="E1" i="3"/>
  <c r="F1" i="3"/>
  <c r="G1" i="3"/>
  <c r="H1" i="3"/>
  <c r="I1" i="3"/>
  <c r="J1" i="3"/>
  <c r="K1" i="3"/>
  <c r="L1" i="3"/>
  <c r="C1" i="3"/>
  <c r="B5" i="3"/>
  <c r="B4" i="3" s="1"/>
  <c r="C4" i="3" s="1"/>
  <c r="B2" i="3"/>
  <c r="C2" i="3" s="1"/>
  <c r="B5" i="2"/>
  <c r="F7" i="3" l="1"/>
  <c r="B3" i="3"/>
  <c r="C3" i="3" s="1"/>
  <c r="B2" i="2"/>
  <c r="B4" i="2"/>
  <c r="D7" i="3" l="1"/>
  <c r="C7" i="3"/>
  <c r="C4" i="2"/>
  <c r="D4" i="2" s="1"/>
  <c r="B3" i="2"/>
  <c r="C3" i="2" s="1"/>
  <c r="D3" i="2" s="1"/>
  <c r="C2" i="2"/>
  <c r="C7" i="2" l="1"/>
  <c r="D2" i="2"/>
  <c r="D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<sst xmlns="http://schemas.openxmlformats.org/spreadsheetml/2006/main" count="29" uniqueCount="21">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</sst>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8" fillId="0" borderId="0" xfId="42"/>
    <xf numFmtId="2" fontId="18" fillId="0" borderId="0" xfId="42" applyNumberFormat="1"/>
    <xf numFmtId="165" fontId="0" fillId="0" borderId="0" xfId="44" applyNumberFormat="1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 2" xfId="43" xr:uid="{3A4B0E27-D947-4D7A-B51E-17B705417C9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7F5D012-193B-4DC1-8345-CEB7ACE962A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8"/>
  <sheetViews>
    <sheetView zoomScale="85" zoomScaleNormal="85" workbookViewId="0">
      <selection activeCell="A7"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1">
        <f>(B$7-B$6-B$5)*0.13</f>
        <v>592488.0263873454</v>
      </c>
      <c r="C2" s="1">
        <f>B2</f>
        <v>592488.0263873454</v>
      </c>
      <c r="D2" s="1">
        <f>C2</f>
        <v>592488.0263873454</v>
      </c>
      <c r="E2" s="1"/>
    </row>
    <row r="3" spans="1:5" x14ac:dyDescent="0.25">
      <c r="A3" t="s">
        <v>2</v>
      </c>
      <c r="B3" s="1">
        <f>(B$7-B$6-B$5)*0.23</f>
        <v>1048248.0466853033</v>
      </c>
      <c r="C3" s="1">
        <f t="shared" ref="C3:C4" si="0">B3</f>
        <v>1048248.0466853033</v>
      </c>
      <c r="D3" s="1">
        <f>C3*1.29032258064516</f>
        <v>1352578.1247552286</v>
      </c>
      <c r="E3" s="1"/>
    </row>
    <row r="4" spans="1:5" x14ac:dyDescent="0.25">
      <c r="A4" t="s">
        <v>3</v>
      </c>
      <c r="B4" s="1">
        <f>(B$7-B$6-B$5)*0.64</f>
        <v>2916864.129906931</v>
      </c>
      <c r="C4" s="1">
        <f t="shared" si="0"/>
        <v>2916864.129906931</v>
      </c>
      <c r="D4" s="1">
        <f>C4*1</f>
        <v>2916864.129906931</v>
      </c>
      <c r="E4" s="1"/>
    </row>
    <row r="5" spans="1:5" x14ac:dyDescent="0.25">
      <c r="A5" t="s">
        <v>4</v>
      </c>
      <c r="B5" s="1">
        <f>3*90875.9323401401</f>
        <v>272627.79702042032</v>
      </c>
      <c r="C5" s="1">
        <v>0</v>
      </c>
      <c r="D5" s="1">
        <v>0</v>
      </c>
      <c r="E5" s="1"/>
    </row>
    <row r="6" spans="1:5" x14ac:dyDescent="0.25">
      <c r="A6" t="s">
        <v>8</v>
      </c>
      <c r="B6">
        <v>644830</v>
      </c>
      <c r="C6" s="1">
        <v>0</v>
      </c>
      <c r="D6" s="1">
        <v>0</v>
      </c>
      <c r="E6" s="1"/>
    </row>
    <row r="7" spans="1:5" x14ac:dyDescent="0.25">
      <c r="A7" t="s">
        <v>5</v>
      </c>
      <c r="B7">
        <v>5475058</v>
      </c>
      <c r="C7" s="1">
        <f>SUM(C2:C6)</f>
        <v>4557600.2029795796</v>
      </c>
      <c r="D7" s="1">
        <f>SUM(D2:D6)</f>
        <v>4861930.2810495049</v>
      </c>
      <c r="E7" s="1"/>
    </row>
    <row r="8" spans="1:5" x14ac:dyDescent="0.25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10C5-2477-43E7-A7EA-ED97B57AF8AB}">
  <dimension ref="A1:M22"/>
  <sheetViews>
    <sheetView tabSelected="1" zoomScale="70" zoomScaleNormal="70" workbookViewId="0">
      <selection activeCell="C1" sqref="C1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6.5703125" bestFit="1" customWidth="1"/>
    <col min="5" max="5" width="26.42578125" bestFit="1" customWidth="1"/>
    <col min="6" max="6" width="19.7109375" bestFit="1" customWidth="1"/>
    <col min="7" max="7" width="19" bestFit="1" customWidth="1"/>
    <col min="8" max="8" width="18.140625" bestFit="1" customWidth="1"/>
    <col min="9" max="9" width="18.7109375" bestFit="1" customWidth="1"/>
    <col min="10" max="10" width="18.85546875" bestFit="1" customWidth="1"/>
    <col min="11" max="11" width="19.42578125" bestFit="1" customWidth="1"/>
    <col min="12" max="13" width="21.42578125" bestFit="1" customWidth="1"/>
  </cols>
  <sheetData>
    <row r="1" spans="1:13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 t="shared" ref="D1:M1" si="0">_xlfn.CONCAT("Production cost - ",D9)</f>
        <v>Production cost - US Average</v>
      </c>
      <c r="E1" t="str">
        <f t="shared" si="0"/>
        <v>Production cost - GL Average</v>
      </c>
      <c r="F1" t="str">
        <f t="shared" si="0"/>
        <v>Production cost - MN</v>
      </c>
      <c r="G1" t="str">
        <f t="shared" si="0"/>
        <v>Production cost - WI</v>
      </c>
      <c r="H1" t="str">
        <f t="shared" si="0"/>
        <v>Production cost - IL</v>
      </c>
      <c r="I1" t="str">
        <f t="shared" si="0"/>
        <v>Production cost - IN</v>
      </c>
      <c r="J1" t="str">
        <f t="shared" si="0"/>
        <v>Production cost - MI</v>
      </c>
      <c r="K1" t="str">
        <f t="shared" si="0"/>
        <v>Production cost - OH</v>
      </c>
      <c r="L1" t="str">
        <f t="shared" si="0"/>
        <v>Production cost - PA</v>
      </c>
      <c r="M1" t="str">
        <f t="shared" si="0"/>
        <v>Production cost - NY</v>
      </c>
    </row>
    <row r="2" spans="1:13" x14ac:dyDescent="0.25">
      <c r="A2" t="s">
        <v>1</v>
      </c>
      <c r="B2" s="1">
        <f>(B$7-B$6-B$5)*0.13</f>
        <v>592488.0263873454</v>
      </c>
      <c r="C2" s="1">
        <f>B2</f>
        <v>592488.0263873454</v>
      </c>
      <c r="D2" s="1">
        <f>$C$2</f>
        <v>592488.0263873454</v>
      </c>
      <c r="E2" s="1">
        <f t="shared" ref="E2:M2" si="1">$C$2</f>
        <v>592488.0263873454</v>
      </c>
      <c r="F2" s="1">
        <f t="shared" si="1"/>
        <v>592488.0263873454</v>
      </c>
      <c r="G2" s="1">
        <f t="shared" si="1"/>
        <v>592488.0263873454</v>
      </c>
      <c r="H2" s="1">
        <f t="shared" si="1"/>
        <v>592488.0263873454</v>
      </c>
      <c r="I2" s="1">
        <f t="shared" si="1"/>
        <v>592488.0263873454</v>
      </c>
      <c r="J2" s="1">
        <f t="shared" si="1"/>
        <v>592488.0263873454</v>
      </c>
      <c r="K2" s="1">
        <f t="shared" si="1"/>
        <v>592488.0263873454</v>
      </c>
      <c r="L2" s="1">
        <f t="shared" si="1"/>
        <v>592488.0263873454</v>
      </c>
      <c r="M2" s="1">
        <f t="shared" si="1"/>
        <v>592488.0263873454</v>
      </c>
    </row>
    <row r="3" spans="1:13" x14ac:dyDescent="0.25">
      <c r="A3" t="s">
        <v>2</v>
      </c>
      <c r="B3" s="1">
        <f>(B$7-B$6-B$5)*0.23</f>
        <v>1048248.0466853033</v>
      </c>
      <c r="C3" s="1">
        <f t="shared" ref="C3:C4" si="2">B3</f>
        <v>1048248.0466853033</v>
      </c>
      <c r="D3" s="1">
        <f>$C$3*D8</f>
        <v>1349760.2536619902</v>
      </c>
      <c r="E3" s="1">
        <f t="shared" ref="E3:L3" si="3">$C$3*E8</f>
        <v>1352578.1247552303</v>
      </c>
      <c r="F3" s="1">
        <f t="shared" si="3"/>
        <v>1453191.8436774821</v>
      </c>
      <c r="G3" s="1">
        <f t="shared" si="3"/>
        <v>1318441.3272637518</v>
      </c>
      <c r="H3" s="1">
        <f t="shared" si="3"/>
        <v>1294133.3909695102</v>
      </c>
      <c r="I3" s="1">
        <f t="shared" si="3"/>
        <v>1298360.8581511176</v>
      </c>
      <c r="J3" s="1">
        <f t="shared" si="3"/>
        <v>1388194.5357602709</v>
      </c>
      <c r="K3" s="1">
        <f t="shared" si="3"/>
        <v>1351204.1979212079</v>
      </c>
      <c r="L3" s="1">
        <f t="shared" si="3"/>
        <v>1373398.4006246456</v>
      </c>
      <c r="M3" s="1">
        <f>$C$3*M8</f>
        <v>1343806.1303533951</v>
      </c>
    </row>
    <row r="4" spans="1:13" x14ac:dyDescent="0.25">
      <c r="A4" t="s">
        <v>3</v>
      </c>
      <c r="B4" s="1">
        <f>(B$7-B$6-B$5)*0.64</f>
        <v>2916864.129906931</v>
      </c>
      <c r="C4" s="1">
        <f t="shared" si="2"/>
        <v>2916864.129906931</v>
      </c>
      <c r="D4" s="1">
        <f>$C$4*1</f>
        <v>2916864.129906931</v>
      </c>
      <c r="E4" s="1">
        <f t="shared" ref="E4:M4" si="4">$C$4*1</f>
        <v>2916864.129906931</v>
      </c>
      <c r="F4" s="1">
        <f t="shared" si="4"/>
        <v>2916864.129906931</v>
      </c>
      <c r="G4" s="1">
        <f t="shared" si="4"/>
        <v>2916864.129906931</v>
      </c>
      <c r="H4" s="1">
        <f t="shared" si="4"/>
        <v>2916864.129906931</v>
      </c>
      <c r="I4" s="1">
        <f t="shared" si="4"/>
        <v>2916864.129906931</v>
      </c>
      <c r="J4" s="1">
        <f t="shared" si="4"/>
        <v>2916864.129906931</v>
      </c>
      <c r="K4" s="1">
        <f t="shared" si="4"/>
        <v>2916864.129906931</v>
      </c>
      <c r="L4" s="1">
        <f t="shared" si="4"/>
        <v>2916864.129906931</v>
      </c>
      <c r="M4" s="1">
        <f t="shared" si="4"/>
        <v>2916864.129906931</v>
      </c>
    </row>
    <row r="5" spans="1:13" x14ac:dyDescent="0.25">
      <c r="A5" t="s">
        <v>4</v>
      </c>
      <c r="B5" s="1">
        <f>3*90875.9323401401</f>
        <v>272627.79702042032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t="s">
        <v>8</v>
      </c>
      <c r="B6">
        <v>644830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t="s">
        <v>5</v>
      </c>
      <c r="B7">
        <v>5475058</v>
      </c>
      <c r="C7" s="1">
        <f>SUM(C2:C6)</f>
        <v>4557600.2029795796</v>
      </c>
      <c r="D7" s="1">
        <f>SUM(D2:D6)</f>
        <v>4859112.4099562671</v>
      </c>
      <c r="E7" s="1">
        <f t="shared" ref="E7:M7" si="5">SUM(E2:E6)</f>
        <v>4861930.2810495067</v>
      </c>
      <c r="F7" s="1">
        <f t="shared" si="5"/>
        <v>4962543.9999717586</v>
      </c>
      <c r="G7" s="1">
        <f t="shared" si="5"/>
        <v>4827793.483558028</v>
      </c>
      <c r="H7" s="1">
        <f t="shared" si="5"/>
        <v>4803485.5472637862</v>
      </c>
      <c r="I7" s="1">
        <f t="shared" si="5"/>
        <v>4807713.0144453943</v>
      </c>
      <c r="J7" s="1">
        <f t="shared" si="5"/>
        <v>4897546.6920545474</v>
      </c>
      <c r="K7" s="1">
        <f t="shared" si="5"/>
        <v>4860556.3542154841</v>
      </c>
      <c r="L7" s="1">
        <f t="shared" si="5"/>
        <v>4882750.5569189219</v>
      </c>
      <c r="M7" s="1">
        <f t="shared" si="5"/>
        <v>4853158.2866476718</v>
      </c>
    </row>
    <row r="8" spans="1:13" x14ac:dyDescent="0.25">
      <c r="C8">
        <v>1</v>
      </c>
      <c r="D8">
        <v>1.2876344086021507</v>
      </c>
      <c r="E8">
        <v>1.2903225806451615</v>
      </c>
      <c r="F8">
        <v>1.3863053198836512</v>
      </c>
      <c r="G8">
        <v>1.2577570084035308</v>
      </c>
      <c r="H8">
        <v>1.2345679012345678</v>
      </c>
      <c r="I8">
        <v>1.2386007894378659</v>
      </c>
      <c r="J8">
        <v>1.3242996637579461</v>
      </c>
      <c r="K8">
        <v>1.2890118919790896</v>
      </c>
      <c r="L8">
        <v>1.3101845550464033</v>
      </c>
      <c r="M8">
        <v>1.2819543376233182</v>
      </c>
    </row>
    <row r="9" spans="1:13" x14ac:dyDescent="0.25"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</row>
    <row r="12" spans="1:13" ht="15.75" x14ac:dyDescent="0.25">
      <c r="B12" s="2"/>
      <c r="C12" s="2" t="str" cm="1">
        <f t="array" ref="C12:C22">TRANSPOSE(C9:M9)</f>
        <v>Import</v>
      </c>
      <c r="D12" s="4" cm="1">
        <f t="array" ref="D12:D22">TRANSPOSE(C7:M7)</f>
        <v>4557600.2029795796</v>
      </c>
    </row>
    <row r="13" spans="1:13" ht="15.75" x14ac:dyDescent="0.25">
      <c r="B13" s="2"/>
      <c r="C13" s="3" t="str">
        <v>US Average</v>
      </c>
      <c r="D13" s="4">
        <v>4859112.4099562671</v>
      </c>
    </row>
    <row r="14" spans="1:13" ht="15.75" x14ac:dyDescent="0.25">
      <c r="B14" s="2"/>
      <c r="C14" s="3" t="str">
        <v>GL Average</v>
      </c>
      <c r="D14" s="4">
        <v>4861930.2810495067</v>
      </c>
    </row>
    <row r="15" spans="1:13" ht="15.75" x14ac:dyDescent="0.25">
      <c r="B15" s="2"/>
      <c r="C15" s="3" t="str">
        <v>MN</v>
      </c>
      <c r="D15" s="4">
        <v>4962543.9999717586</v>
      </c>
    </row>
    <row r="16" spans="1:13" ht="15.75" x14ac:dyDescent="0.25">
      <c r="B16" s="2"/>
      <c r="C16" s="3" t="str">
        <v>WI</v>
      </c>
      <c r="D16" s="4">
        <v>4827793.483558028</v>
      </c>
    </row>
    <row r="17" spans="2:4" ht="15.75" x14ac:dyDescent="0.25">
      <c r="B17" s="2"/>
      <c r="C17" s="3" t="str">
        <v>IL</v>
      </c>
      <c r="D17" s="4">
        <v>4803485.5472637862</v>
      </c>
    </row>
    <row r="18" spans="2:4" ht="15.75" x14ac:dyDescent="0.25">
      <c r="B18" s="2"/>
      <c r="C18" s="3" t="str">
        <v>IN</v>
      </c>
      <c r="D18" s="4">
        <v>4807713.0144453943</v>
      </c>
    </row>
    <row r="19" spans="2:4" ht="15.75" x14ac:dyDescent="0.25">
      <c r="B19" s="2"/>
      <c r="C19" s="3" t="str">
        <v>MI</v>
      </c>
      <c r="D19" s="4">
        <v>4897546.6920545474</v>
      </c>
    </row>
    <row r="20" spans="2:4" ht="15.75" x14ac:dyDescent="0.25">
      <c r="B20" s="2"/>
      <c r="C20" s="3" t="str">
        <v>OH</v>
      </c>
      <c r="D20" s="4">
        <v>4860556.3542154841</v>
      </c>
    </row>
    <row r="21" spans="2:4" ht="15.75" x14ac:dyDescent="0.25">
      <c r="B21" s="2"/>
      <c r="C21" s="3" t="str">
        <v>PA</v>
      </c>
      <c r="D21" s="4">
        <v>4882750.5569189219</v>
      </c>
    </row>
    <row r="22" spans="2:4" ht="15.75" x14ac:dyDescent="0.25">
      <c r="B22" s="2"/>
      <c r="C22" s="3" t="str">
        <v>NY</v>
      </c>
      <c r="D22" s="4">
        <v>4853158.2866476718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2025-03-27T03:18:15Z</dcterms:modified>
</cp:coreProperties>
</file>